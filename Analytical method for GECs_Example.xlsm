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Ziga\Desktop\katarina\new\"/>
    </mc:Choice>
  </mc:AlternateContent>
  <bookViews>
    <workbookView xWindow="0" yWindow="0" windowWidth="28800" windowHeight="12450" firstSheet="1" activeTab="1"/>
  </bookViews>
  <sheets>
    <sheet name="img" sheetId="12" state="hidden" r:id="rId1"/>
    <sheet name="Example" sheetId="9" r:id="rId2"/>
  </sheets>
  <functionGroups builtInGroupCount="18"/>
  <definedNames>
    <definedName name="i_p_E">Example!$C$22</definedName>
    <definedName name="i_p_fi">Example!$C$19</definedName>
    <definedName name="i_p_poisson">Example!$C$23</definedName>
    <definedName name="i_p_psi">Example!$C$20</definedName>
    <definedName name="input_area">Example!$A$4:$D$32</definedName>
    <definedName name="r_p_uz">Example!$D$36</definedName>
    <definedName name="solver_adj" localSheetId="1" hidden="1">Example!#REF!</definedName>
    <definedName name="solver_cvg" localSheetId="1" hidden="1">0.0001</definedName>
    <definedName name="solver_drv" localSheetId="1" hidden="1">1</definedName>
    <definedName name="solver_eng" localSheetId="1" hidden="1">3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Example!#REF!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1000</definedName>
    <definedName name="solver_ver" localSheetId="1" hidden="1">3</definedName>
    <definedName name="Z_F3E087B8_6933_43E4_A0BC_9F60E98C0E7B_.wvu.PrintArea" localSheetId="1" hidden="1">Example!$A$65:$P$66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6" i="9" l="1"/>
  <c r="T43" i="9" l="1"/>
  <c r="T44" i="9" l="1"/>
  <c r="T45" i="9" s="1"/>
  <c r="T46" i="9" s="1"/>
  <c r="T47" i="9" s="1"/>
  <c r="T48" i="9" s="1"/>
  <c r="T49" i="9" s="1"/>
  <c r="T50" i="9" s="1"/>
  <c r="T51" i="9" s="1"/>
  <c r="T52" i="9" s="1"/>
  <c r="T53" i="9" s="1"/>
  <c r="T54" i="9" s="1"/>
  <c r="T55" i="9" s="1"/>
  <c r="T56" i="9" s="1"/>
  <c r="T57" i="9" s="1"/>
  <c r="T58" i="9" s="1"/>
  <c r="T59" i="9" s="1"/>
  <c r="T60" i="9" s="1"/>
  <c r="T61" i="9" s="1"/>
  <c r="T62" i="9" s="1"/>
  <c r="T63" i="9" s="1"/>
  <c r="T64" i="9" s="1"/>
  <c r="M62" i="9"/>
  <c r="M58" i="9"/>
  <c r="M52" i="9"/>
  <c r="M46" i="9"/>
  <c r="S46" i="9"/>
  <c r="M63" i="9" l="1"/>
  <c r="M64" i="9"/>
  <c r="AF45" i="9" l="1"/>
  <c r="C43" i="9"/>
  <c r="K43" i="9" s="1"/>
  <c r="AF49" i="9"/>
  <c r="AF44" i="9"/>
  <c r="AF48" i="9" l="1"/>
  <c r="AF47" i="9"/>
  <c r="AF46" i="9"/>
  <c r="R46" i="9"/>
  <c r="C46" i="9"/>
  <c r="L46" i="9" s="1"/>
  <c r="R52" i="9"/>
  <c r="AF50" i="9"/>
  <c r="C52" i="9" l="1"/>
  <c r="K52" i="9" s="1"/>
  <c r="K46" i="9"/>
  <c r="AF52" i="9"/>
  <c r="AF51" i="9"/>
  <c r="AF53" i="9"/>
  <c r="L52" i="9"/>
  <c r="M61" i="9"/>
  <c r="M60" i="9"/>
  <c r="M59" i="9"/>
  <c r="M57" i="9"/>
  <c r="M56" i="9"/>
  <c r="M55" i="9"/>
  <c r="M54" i="9"/>
  <c r="R53" i="9"/>
  <c r="M53" i="9"/>
  <c r="C53" i="9"/>
  <c r="K53" i="9" s="1"/>
  <c r="R51" i="9"/>
  <c r="M51" i="9"/>
  <c r="C51" i="9"/>
  <c r="K51" i="9" s="1"/>
  <c r="R50" i="9"/>
  <c r="M50" i="9"/>
  <c r="C50" i="9"/>
  <c r="K50" i="9" s="1"/>
  <c r="S49" i="9"/>
  <c r="S50" i="9" s="1"/>
  <c r="S51" i="9" s="1"/>
  <c r="S52" i="9" s="1"/>
  <c r="S53" i="9" s="1"/>
  <c r="R49" i="9"/>
  <c r="M49" i="9"/>
  <c r="C49" i="9"/>
  <c r="K49" i="9" s="1"/>
  <c r="S48" i="9"/>
  <c r="R48" i="9"/>
  <c r="M48" i="9"/>
  <c r="C48" i="9"/>
  <c r="K48" i="9" s="1"/>
  <c r="S47" i="9"/>
  <c r="R47" i="9"/>
  <c r="M47" i="9"/>
  <c r="C47" i="9"/>
  <c r="K47" i="9" s="1"/>
  <c r="S45" i="9"/>
  <c r="R45" i="9"/>
  <c r="M45" i="9"/>
  <c r="C45" i="9"/>
  <c r="K45" i="9" s="1"/>
  <c r="S44" i="9"/>
  <c r="R44" i="9"/>
  <c r="M44" i="9"/>
  <c r="C44" i="9"/>
  <c r="L44" i="9" s="1"/>
  <c r="S43" i="9"/>
  <c r="R43" i="9"/>
  <c r="M43" i="9"/>
  <c r="C29" i="9"/>
  <c r="C28" i="9"/>
  <c r="C27" i="9"/>
  <c r="C25" i="9"/>
  <c r="C10" i="9"/>
  <c r="C11" i="9" s="1"/>
  <c r="C12" i="9" s="1"/>
  <c r="S54" i="9" l="1"/>
  <c r="S55" i="9" s="1"/>
  <c r="S56" i="9" s="1"/>
  <c r="S57" i="9" s="1"/>
  <c r="S58" i="9" s="1"/>
  <c r="S59" i="9" s="1"/>
  <c r="S60" i="9" s="1"/>
  <c r="S61" i="9" s="1"/>
  <c r="S62" i="9" s="1"/>
  <c r="S63" i="9" s="1"/>
  <c r="S64" i="9" s="1"/>
  <c r="U46" i="9"/>
  <c r="V46" i="9" s="1"/>
  <c r="X46" i="9" s="1"/>
  <c r="O62" i="9"/>
  <c r="O58" i="9"/>
  <c r="O52" i="9"/>
  <c r="O46" i="9"/>
  <c r="N62" i="9"/>
  <c r="N52" i="9"/>
  <c r="N58" i="9"/>
  <c r="N46" i="9"/>
  <c r="U52" i="9"/>
  <c r="V52" i="9" s="1"/>
  <c r="X52" i="9" s="1"/>
  <c r="N63" i="9"/>
  <c r="O64" i="9"/>
  <c r="O63" i="9"/>
  <c r="N64" i="9"/>
  <c r="C13" i="9"/>
  <c r="L49" i="9"/>
  <c r="U49" i="9" s="1"/>
  <c r="V49" i="9" s="1"/>
  <c r="Y49" i="9" s="1"/>
  <c r="L45" i="9"/>
  <c r="U45" i="9" s="1"/>
  <c r="V45" i="9" s="1"/>
  <c r="L43" i="9"/>
  <c r="L50" i="9"/>
  <c r="U50" i="9" s="1"/>
  <c r="V50" i="9" s="1"/>
  <c r="Y50" i="9" s="1"/>
  <c r="K44" i="9"/>
  <c r="U44" i="9" s="1"/>
  <c r="V44" i="9" s="1"/>
  <c r="L53" i="9"/>
  <c r="U53" i="9" s="1"/>
  <c r="V53" i="9" s="1"/>
  <c r="Y53" i="9" s="1"/>
  <c r="L48" i="9"/>
  <c r="U48" i="9" s="1"/>
  <c r="V48" i="9" s="1"/>
  <c r="L47" i="9"/>
  <c r="U47" i="9" s="1"/>
  <c r="L51" i="9"/>
  <c r="U51" i="9" s="1"/>
  <c r="O60" i="9"/>
  <c r="N59" i="9"/>
  <c r="O55" i="9"/>
  <c r="N54" i="9"/>
  <c r="O50" i="9"/>
  <c r="N49" i="9"/>
  <c r="O45" i="9"/>
  <c r="N44" i="9"/>
  <c r="N60" i="9"/>
  <c r="O56" i="9"/>
  <c r="N55" i="9"/>
  <c r="O51" i="9"/>
  <c r="N50" i="9"/>
  <c r="O47" i="9"/>
  <c r="N45" i="9"/>
  <c r="O43" i="9"/>
  <c r="O57" i="9"/>
  <c r="N56" i="9"/>
  <c r="O53" i="9"/>
  <c r="N51" i="9"/>
  <c r="O48" i="9"/>
  <c r="N47" i="9"/>
  <c r="N43" i="9"/>
  <c r="O44" i="9"/>
  <c r="P44" i="9" s="1"/>
  <c r="O61" i="9"/>
  <c r="N61" i="9"/>
  <c r="O59" i="9"/>
  <c r="N57" i="9"/>
  <c r="O54" i="9"/>
  <c r="N53" i="9"/>
  <c r="O49" i="9"/>
  <c r="N48" i="9"/>
  <c r="C30" i="9"/>
  <c r="P46" i="9" l="1"/>
  <c r="C55" i="9"/>
  <c r="P58" i="9"/>
  <c r="P52" i="9"/>
  <c r="P62" i="9"/>
  <c r="Y52" i="9"/>
  <c r="Q46" i="9"/>
  <c r="W46" i="9" s="1"/>
  <c r="Q52" i="9"/>
  <c r="Y46" i="9"/>
  <c r="P63" i="9"/>
  <c r="U43" i="9"/>
  <c r="P43" i="9"/>
  <c r="P49" i="9"/>
  <c r="Q49" i="9" s="1"/>
  <c r="W49" i="9" s="1"/>
  <c r="P64" i="9"/>
  <c r="P59" i="9"/>
  <c r="P51" i="9"/>
  <c r="Q51" i="9" s="1"/>
  <c r="W51" i="9" s="1"/>
  <c r="P53" i="9"/>
  <c r="Q53" i="9" s="1"/>
  <c r="W53" i="9" s="1"/>
  <c r="P45" i="9"/>
  <c r="Q45" i="9" s="1"/>
  <c r="W45" i="9" s="1"/>
  <c r="P55" i="9"/>
  <c r="P54" i="9"/>
  <c r="P61" i="9"/>
  <c r="P47" i="9"/>
  <c r="Q47" i="9" s="1"/>
  <c r="W47" i="9" s="1"/>
  <c r="P56" i="9"/>
  <c r="P48" i="9"/>
  <c r="Q48" i="9" s="1"/>
  <c r="W48" i="9" s="1"/>
  <c r="P57" i="9"/>
  <c r="P50" i="9"/>
  <c r="Q50" i="9" s="1"/>
  <c r="W50" i="9" s="1"/>
  <c r="P60" i="9"/>
  <c r="Y44" i="9"/>
  <c r="X44" i="9"/>
  <c r="X45" i="9"/>
  <c r="Y45" i="9"/>
  <c r="X49" i="9"/>
  <c r="X53" i="9"/>
  <c r="X48" i="9"/>
  <c r="Y48" i="9"/>
  <c r="V47" i="9"/>
  <c r="X47" i="9" s="1"/>
  <c r="X50" i="9"/>
  <c r="V51" i="9"/>
  <c r="Y51" i="9" s="1"/>
  <c r="Q44" i="9"/>
  <c r="W44" i="9" s="1"/>
  <c r="Q43" i="9"/>
  <c r="W43" i="9" s="1"/>
  <c r="V43" i="9" l="1"/>
  <c r="Y43" i="9" s="1"/>
  <c r="AA43" i="9"/>
  <c r="C58" i="9"/>
  <c r="R55" i="9"/>
  <c r="Q55" i="9" s="1"/>
  <c r="W55" i="9" s="1"/>
  <c r="R54" i="9"/>
  <c r="Q54" i="9" s="1"/>
  <c r="W54" i="9" s="1"/>
  <c r="C54" i="9"/>
  <c r="AF54" i="9"/>
  <c r="AF55" i="9"/>
  <c r="AA46" i="9"/>
  <c r="K55" i="9"/>
  <c r="L55" i="9"/>
  <c r="AF56" i="9"/>
  <c r="C56" i="9"/>
  <c r="R56" i="9"/>
  <c r="Q56" i="9" s="1"/>
  <c r="AA52" i="9"/>
  <c r="W52" i="9"/>
  <c r="Z52" i="9"/>
  <c r="Z46" i="9"/>
  <c r="Y47" i="9"/>
  <c r="X51" i="9"/>
  <c r="Z48" i="9"/>
  <c r="AA48" i="9"/>
  <c r="AA53" i="9"/>
  <c r="AA49" i="9"/>
  <c r="Z44" i="9"/>
  <c r="Z43" i="9"/>
  <c r="AA45" i="9"/>
  <c r="Z49" i="9"/>
  <c r="Z45" i="9"/>
  <c r="AA44" i="9"/>
  <c r="Z47" i="9"/>
  <c r="Z50" i="9"/>
  <c r="AA50" i="9"/>
  <c r="AA47" i="9"/>
  <c r="Z53" i="9"/>
  <c r="Z51" i="9"/>
  <c r="AA51" i="9"/>
  <c r="R58" i="9" l="1"/>
  <c r="Q58" i="9" s="1"/>
  <c r="W58" i="9" s="1"/>
  <c r="X43" i="9"/>
  <c r="AB43" i="9" s="1"/>
  <c r="K54" i="9"/>
  <c r="L54" i="9"/>
  <c r="AA54" i="9"/>
  <c r="Z54" i="9"/>
  <c r="AB52" i="9"/>
  <c r="B52" i="9" s="1"/>
  <c r="Z55" i="9"/>
  <c r="AB46" i="9"/>
  <c r="AA55" i="9"/>
  <c r="U55" i="9"/>
  <c r="V55" i="9" s="1"/>
  <c r="Y55" i="9" s="1"/>
  <c r="W56" i="9"/>
  <c r="AA56" i="9"/>
  <c r="Z56" i="9"/>
  <c r="K56" i="9"/>
  <c r="L56" i="9"/>
  <c r="AF57" i="9"/>
  <c r="C57" i="9"/>
  <c r="R57" i="9"/>
  <c r="Q57" i="9" s="1"/>
  <c r="K58" i="9"/>
  <c r="L58" i="9"/>
  <c r="AF58" i="9"/>
  <c r="AB49" i="9"/>
  <c r="B49" i="9" s="1"/>
  <c r="AB53" i="9"/>
  <c r="AD53" i="9" s="1"/>
  <c r="I53" i="9" s="1"/>
  <c r="AB48" i="9"/>
  <c r="B48" i="9" s="1"/>
  <c r="AB45" i="9"/>
  <c r="AD45" i="9" s="1"/>
  <c r="I45" i="9" s="1"/>
  <c r="AB44" i="9"/>
  <c r="B44" i="9" s="1"/>
  <c r="AB50" i="9"/>
  <c r="AC50" i="9" s="1"/>
  <c r="H50" i="9" s="1"/>
  <c r="AB47" i="9"/>
  <c r="J47" i="9" s="1"/>
  <c r="AB51" i="9"/>
  <c r="AC51" i="9" s="1"/>
  <c r="H51" i="9" s="1"/>
  <c r="Z58" i="9" l="1"/>
  <c r="AA58" i="9"/>
  <c r="AC43" i="9"/>
  <c r="H43" i="9" s="1"/>
  <c r="J43" i="9"/>
  <c r="U54" i="9"/>
  <c r="V54" i="9" s="1"/>
  <c r="X54" i="9" s="1"/>
  <c r="AD52" i="9"/>
  <c r="I52" i="9" s="1"/>
  <c r="J52" i="9"/>
  <c r="AC52" i="9"/>
  <c r="H52" i="9" s="1"/>
  <c r="B46" i="9"/>
  <c r="J46" i="9"/>
  <c r="AE47" i="9" s="1"/>
  <c r="AC46" i="9"/>
  <c r="H46" i="9" s="1"/>
  <c r="AD46" i="9"/>
  <c r="I46" i="9" s="1"/>
  <c r="X55" i="9"/>
  <c r="AB55" i="9" s="1"/>
  <c r="B55" i="9" s="1"/>
  <c r="W57" i="9"/>
  <c r="Z57" i="9"/>
  <c r="AA57" i="9"/>
  <c r="AF59" i="9"/>
  <c r="R59" i="9"/>
  <c r="Q59" i="9" s="1"/>
  <c r="C59" i="9"/>
  <c r="L57" i="9"/>
  <c r="K57" i="9"/>
  <c r="U58" i="9"/>
  <c r="V58" i="9" s="1"/>
  <c r="X58" i="9" s="1"/>
  <c r="U56" i="9"/>
  <c r="V56" i="9" s="1"/>
  <c r="Y56" i="9" s="1"/>
  <c r="AC49" i="9"/>
  <c r="H49" i="9" s="1"/>
  <c r="AD49" i="9"/>
  <c r="I49" i="9" s="1"/>
  <c r="J49" i="9"/>
  <c r="AD48" i="9"/>
  <c r="I48" i="9" s="1"/>
  <c r="AC48" i="9"/>
  <c r="H48" i="9" s="1"/>
  <c r="J48" i="9"/>
  <c r="AC53" i="9"/>
  <c r="H53" i="9" s="1"/>
  <c r="J53" i="9"/>
  <c r="B53" i="9"/>
  <c r="B45" i="9"/>
  <c r="J45" i="9"/>
  <c r="AC45" i="9"/>
  <c r="H45" i="9" s="1"/>
  <c r="B43" i="9"/>
  <c r="J44" i="9"/>
  <c r="AD43" i="9"/>
  <c r="I43" i="9" s="1"/>
  <c r="AD44" i="9"/>
  <c r="I44" i="9" s="1"/>
  <c r="AC44" i="9"/>
  <c r="H44" i="9" s="1"/>
  <c r="B50" i="9"/>
  <c r="B47" i="9"/>
  <c r="J50" i="9"/>
  <c r="AD50" i="9"/>
  <c r="I50" i="9" s="1"/>
  <c r="AD47" i="9"/>
  <c r="I47" i="9" s="1"/>
  <c r="AC47" i="9"/>
  <c r="H47" i="9" s="1"/>
  <c r="AD51" i="9"/>
  <c r="I51" i="9" s="1"/>
  <c r="B51" i="9"/>
  <c r="J51" i="9"/>
  <c r="AE50" i="9" l="1"/>
  <c r="AE45" i="9"/>
  <c r="AE49" i="9"/>
  <c r="AE44" i="9"/>
  <c r="AF60" i="9"/>
  <c r="AE46" i="9"/>
  <c r="Y54" i="9"/>
  <c r="AB54" i="9" s="1"/>
  <c r="B54" i="9" s="1"/>
  <c r="R62" i="9"/>
  <c r="Q62" i="9" s="1"/>
  <c r="U57" i="9"/>
  <c r="V57" i="9" s="1"/>
  <c r="X57" i="9" s="1"/>
  <c r="AC55" i="9"/>
  <c r="H55" i="9" s="1"/>
  <c r="J55" i="9"/>
  <c r="AD55" i="9"/>
  <c r="I55" i="9" s="1"/>
  <c r="W59" i="9"/>
  <c r="AA59" i="9"/>
  <c r="Z59" i="9"/>
  <c r="X56" i="9"/>
  <c r="AB56" i="9" s="1"/>
  <c r="Y58" i="9"/>
  <c r="AB58" i="9" s="1"/>
  <c r="L59" i="9"/>
  <c r="K59" i="9"/>
  <c r="AE53" i="9"/>
  <c r="AE48" i="9"/>
  <c r="AE51" i="9"/>
  <c r="AE52" i="9"/>
  <c r="C60" i="9" l="1"/>
  <c r="K60" i="9" s="1"/>
  <c r="C62" i="9"/>
  <c r="K62" i="9" s="1"/>
  <c r="R60" i="9"/>
  <c r="Q60" i="9" s="1"/>
  <c r="W60" i="9" s="1"/>
  <c r="AD54" i="9"/>
  <c r="I54" i="9" s="1"/>
  <c r="J54" i="9"/>
  <c r="AC54" i="9"/>
  <c r="H54" i="9" s="1"/>
  <c r="U59" i="9"/>
  <c r="V59" i="9" s="1"/>
  <c r="Y59" i="9" s="1"/>
  <c r="Y57" i="9"/>
  <c r="AB57" i="9" s="1"/>
  <c r="AF61" i="9"/>
  <c r="C61" i="9"/>
  <c r="R61" i="9"/>
  <c r="Q61" i="9" s="1"/>
  <c r="AF62" i="9"/>
  <c r="W62" i="9"/>
  <c r="Z62" i="9"/>
  <c r="AA62" i="9"/>
  <c r="B58" i="9"/>
  <c r="AC58" i="9"/>
  <c r="H58" i="9" s="1"/>
  <c r="AD58" i="9"/>
  <c r="I58" i="9" s="1"/>
  <c r="J58" i="9"/>
  <c r="J56" i="9"/>
  <c r="AC56" i="9"/>
  <c r="H56" i="9" s="1"/>
  <c r="AD56" i="9"/>
  <c r="I56" i="9" s="1"/>
  <c r="B56" i="9"/>
  <c r="L60" i="9" l="1"/>
  <c r="L62" i="9"/>
  <c r="U62" i="9" s="1"/>
  <c r="Z60" i="9"/>
  <c r="AA60" i="9"/>
  <c r="AE54" i="9"/>
  <c r="AE55" i="9"/>
  <c r="U60" i="9"/>
  <c r="V60" i="9" s="1"/>
  <c r="X60" i="9" s="1"/>
  <c r="X59" i="9"/>
  <c r="AB59" i="9" s="1"/>
  <c r="J59" i="9" s="1"/>
  <c r="AE59" i="9" s="1"/>
  <c r="AF63" i="9"/>
  <c r="R63" i="9"/>
  <c r="Q63" i="9" s="1"/>
  <c r="C63" i="9"/>
  <c r="W61" i="9"/>
  <c r="AA61" i="9"/>
  <c r="Z61" i="9"/>
  <c r="L61" i="9"/>
  <c r="K61" i="9"/>
  <c r="AF64" i="9"/>
  <c r="D38" i="9" s="1"/>
  <c r="C64" i="9"/>
  <c r="R64" i="9"/>
  <c r="Q64" i="9" s="1"/>
  <c r="AE56" i="9"/>
  <c r="J57" i="9"/>
  <c r="AE58" i="9" s="1"/>
  <c r="AD57" i="9"/>
  <c r="I57" i="9" s="1"/>
  <c r="B57" i="9"/>
  <c r="AC57" i="9"/>
  <c r="H57" i="9" s="1"/>
  <c r="B59" i="9" l="1"/>
  <c r="AD59" i="9"/>
  <c r="I59" i="9" s="1"/>
  <c r="AC59" i="9"/>
  <c r="H59" i="9" s="1"/>
  <c r="Y60" i="9"/>
  <c r="AB60" i="9" s="1"/>
  <c r="W64" i="9"/>
  <c r="Z64" i="9"/>
  <c r="AA64" i="9"/>
  <c r="W63" i="9"/>
  <c r="Z63" i="9"/>
  <c r="AA63" i="9"/>
  <c r="U61" i="9"/>
  <c r="V61" i="9" s="1"/>
  <c r="Y61" i="9" s="1"/>
  <c r="K63" i="9"/>
  <c r="L63" i="9"/>
  <c r="AE57" i="9"/>
  <c r="L64" i="9"/>
  <c r="K64" i="9"/>
  <c r="V62" i="9"/>
  <c r="X62" i="9" s="1"/>
  <c r="Y62" i="9" l="1"/>
  <c r="AB62" i="9" s="1"/>
  <c r="AD60" i="9"/>
  <c r="I60" i="9" s="1"/>
  <c r="J60" i="9"/>
  <c r="AC60" i="9"/>
  <c r="H60" i="9" s="1"/>
  <c r="B60" i="9"/>
  <c r="X61" i="9"/>
  <c r="AB61" i="9" s="1"/>
  <c r="U64" i="9"/>
  <c r="U63" i="9"/>
  <c r="B62" i="9" l="1"/>
  <c r="AD62" i="9"/>
  <c r="I62" i="9" s="1"/>
  <c r="AC62" i="9"/>
  <c r="H62" i="9" s="1"/>
  <c r="J62" i="9"/>
  <c r="AE60" i="9"/>
  <c r="V64" i="9"/>
  <c r="Y64" i="9" s="1"/>
  <c r="AC61" i="9"/>
  <c r="H61" i="9" s="1"/>
  <c r="J61" i="9"/>
  <c r="AD61" i="9"/>
  <c r="I61" i="9" s="1"/>
  <c r="B61" i="9"/>
  <c r="V63" i="9"/>
  <c r="Y63" i="9" s="1"/>
  <c r="X64" i="9" l="1"/>
  <c r="AB64" i="9" s="1"/>
  <c r="B64" i="9" s="1"/>
  <c r="X63" i="9"/>
  <c r="AB63" i="9" s="1"/>
  <c r="B63" i="9" s="1"/>
  <c r="AE62" i="9"/>
  <c r="AE61" i="9"/>
  <c r="J64" i="9" l="1"/>
  <c r="J63" i="9"/>
  <c r="AD64" i="9"/>
  <c r="I64" i="9" s="1"/>
  <c r="AC63" i="9"/>
  <c r="H63" i="9" s="1"/>
  <c r="AC64" i="9"/>
  <c r="H64" i="9" s="1"/>
  <c r="AD63" i="9"/>
  <c r="I63" i="9" s="1"/>
  <c r="AE63" i="9" l="1"/>
  <c r="AE64" i="9"/>
  <c r="D36" i="9" l="1"/>
</calcChain>
</file>

<file path=xl/sharedStrings.xml><?xml version="1.0" encoding="utf-8"?>
<sst xmlns="http://schemas.openxmlformats.org/spreadsheetml/2006/main" count="131" uniqueCount="106">
  <si>
    <t>Elastic - Elasto-Plastic Method - ENCASED AND NON-ENCASED STONE COLUMNS</t>
  </si>
  <si>
    <t>Geometrical data:</t>
  </si>
  <si>
    <t>Basics:</t>
  </si>
  <si>
    <t>Column length</t>
  </si>
  <si>
    <t>H =</t>
  </si>
  <si>
    <t>m</t>
  </si>
  <si>
    <t>Column diameter</t>
  </si>
  <si>
    <r>
      <t>d</t>
    </r>
    <r>
      <rPr>
        <b/>
        <i/>
        <vertAlign val="subscript"/>
        <sz val="10"/>
        <rFont val="Arial"/>
        <family val="2"/>
        <charset val="238"/>
      </rPr>
      <t>c</t>
    </r>
    <r>
      <rPr>
        <b/>
        <i/>
        <sz val="10"/>
        <rFont val="Arial"/>
        <family val="2"/>
        <charset val="238"/>
      </rPr>
      <t xml:space="preserve"> = </t>
    </r>
  </si>
  <si>
    <t>Column spacing</t>
  </si>
  <si>
    <t>s =</t>
  </si>
  <si>
    <t>Column pattern factor</t>
  </si>
  <si>
    <t>f =</t>
  </si>
  <si>
    <t>Unit cell diameter</t>
  </si>
  <si>
    <r>
      <t>d</t>
    </r>
    <r>
      <rPr>
        <b/>
        <i/>
        <vertAlign val="subscript"/>
        <sz val="10"/>
        <rFont val="Arial"/>
        <family val="2"/>
        <charset val="238"/>
      </rPr>
      <t>e</t>
    </r>
    <r>
      <rPr>
        <b/>
        <i/>
        <sz val="10"/>
        <rFont val="Arial"/>
        <family val="2"/>
        <charset val="238"/>
      </rPr>
      <t xml:space="preserve"> =</t>
    </r>
  </si>
  <si>
    <t>Replacement ratio</t>
  </si>
  <si>
    <r>
      <t>A</t>
    </r>
    <r>
      <rPr>
        <b/>
        <i/>
        <vertAlign val="subscript"/>
        <sz val="10"/>
        <rFont val="Arial"/>
        <family val="2"/>
        <charset val="238"/>
      </rPr>
      <t>r</t>
    </r>
    <r>
      <rPr>
        <b/>
        <i/>
        <sz val="10"/>
        <rFont val="Arial"/>
        <family val="2"/>
        <charset val="238"/>
      </rPr>
      <t xml:space="preserve"> =</t>
    </r>
  </si>
  <si>
    <r>
      <t>A</t>
    </r>
    <r>
      <rPr>
        <b/>
        <i/>
        <vertAlign val="subscript"/>
        <sz val="10"/>
        <rFont val="Arial"/>
        <family val="2"/>
        <charset val="238"/>
      </rPr>
      <t>r</t>
    </r>
    <r>
      <rPr>
        <b/>
        <i/>
        <sz val="10"/>
        <rFont val="Arial"/>
        <family val="2"/>
        <charset val="238"/>
      </rPr>
      <t xml:space="preserve"> (%) =</t>
    </r>
  </si>
  <si>
    <t>%</t>
  </si>
  <si>
    <t>Diameter ratio</t>
  </si>
  <si>
    <r>
      <t>d</t>
    </r>
    <r>
      <rPr>
        <b/>
        <i/>
        <vertAlign val="subscript"/>
        <sz val="10"/>
        <rFont val="Arial"/>
        <family val="2"/>
        <charset val="238"/>
      </rPr>
      <t>e</t>
    </r>
    <r>
      <rPr>
        <b/>
        <i/>
        <sz val="10"/>
        <rFont val="Arial"/>
        <family val="2"/>
        <charset val="238"/>
      </rPr>
      <t>/d</t>
    </r>
    <r>
      <rPr>
        <b/>
        <i/>
        <vertAlign val="subscript"/>
        <sz val="10"/>
        <rFont val="Arial"/>
        <family val="2"/>
        <charset val="238"/>
      </rPr>
      <t>c</t>
    </r>
    <r>
      <rPr>
        <b/>
        <i/>
        <sz val="10"/>
        <rFont val="Arial"/>
        <family val="2"/>
        <charset val="238"/>
      </rPr>
      <t xml:space="preserve"> =</t>
    </r>
  </si>
  <si>
    <t>GEOTEXTILE data:</t>
  </si>
  <si>
    <t>Geo tensile modulus</t>
  </si>
  <si>
    <t>kN/m</t>
  </si>
  <si>
    <t>Stone column data:</t>
  </si>
  <si>
    <t>Peak shear angle</t>
  </si>
  <si>
    <r>
      <t>j</t>
    </r>
    <r>
      <rPr>
        <b/>
        <i/>
        <sz val="10"/>
        <rFont val="Arial"/>
        <family val="2"/>
        <charset val="238"/>
      </rPr>
      <t>' =</t>
    </r>
  </si>
  <si>
    <t>°</t>
  </si>
  <si>
    <t>Dilatancy angle</t>
  </si>
  <si>
    <t>y =</t>
  </si>
  <si>
    <t>Eff. unit weight</t>
  </si>
  <si>
    <r>
      <t>g</t>
    </r>
    <r>
      <rPr>
        <b/>
        <i/>
        <sz val="10"/>
        <rFont val="Arial"/>
        <family val="2"/>
        <charset val="238"/>
      </rPr>
      <t>'</t>
    </r>
    <r>
      <rPr>
        <b/>
        <i/>
        <vertAlign val="subscript"/>
        <sz val="10"/>
        <rFont val="Arial"/>
        <family val="2"/>
        <charset val="238"/>
      </rPr>
      <t>c</t>
    </r>
    <r>
      <rPr>
        <b/>
        <i/>
        <sz val="10"/>
        <rFont val="Arial"/>
        <family val="2"/>
        <charset val="238"/>
      </rPr>
      <t xml:space="preserve"> =</t>
    </r>
  </si>
  <si>
    <r>
      <t>kN/m</t>
    </r>
    <r>
      <rPr>
        <vertAlign val="superscript"/>
        <sz val="10"/>
        <rFont val="Arial"/>
        <family val="2"/>
        <charset val="238"/>
      </rPr>
      <t>3</t>
    </r>
  </si>
  <si>
    <t>Young's modulus</t>
  </si>
  <si>
    <t>E =</t>
  </si>
  <si>
    <t>kPa</t>
  </si>
  <si>
    <t>Poisson's ratio</t>
  </si>
  <si>
    <r>
      <t>n</t>
    </r>
    <r>
      <rPr>
        <b/>
        <i/>
        <sz val="10"/>
        <rFont val="Arial"/>
        <family val="2"/>
        <charset val="238"/>
      </rPr>
      <t xml:space="preserve"> =</t>
    </r>
  </si>
  <si>
    <t>&lt; 0,49</t>
  </si>
  <si>
    <t>Shear angle at c.v.</t>
  </si>
  <si>
    <r>
      <t>j</t>
    </r>
    <r>
      <rPr>
        <b/>
        <i/>
        <sz val="10"/>
        <rFont val="Arial"/>
        <family val="2"/>
        <charset val="238"/>
      </rPr>
      <t>'</t>
    </r>
    <r>
      <rPr>
        <b/>
        <i/>
        <vertAlign val="subscript"/>
        <sz val="10"/>
        <rFont val="Arial"/>
        <family val="2"/>
        <charset val="238"/>
      </rPr>
      <t>cv</t>
    </r>
    <r>
      <rPr>
        <b/>
        <i/>
        <sz val="10"/>
        <rFont val="Arial"/>
        <family val="2"/>
        <charset val="238"/>
      </rPr>
      <t xml:space="preserve"> = </t>
    </r>
  </si>
  <si>
    <r>
      <t>K</t>
    </r>
    <r>
      <rPr>
        <b/>
        <i/>
        <vertAlign val="subscript"/>
        <sz val="10"/>
        <rFont val="Arial"/>
        <family val="2"/>
        <charset val="238"/>
      </rPr>
      <t>pc</t>
    </r>
    <r>
      <rPr>
        <b/>
        <i/>
        <sz val="10"/>
        <rFont val="Arial"/>
        <family val="2"/>
        <charset val="238"/>
      </rPr>
      <t xml:space="preserve"> =</t>
    </r>
  </si>
  <si>
    <r>
      <t>K</t>
    </r>
    <r>
      <rPr>
        <b/>
        <i/>
        <vertAlign val="subscript"/>
        <sz val="10"/>
        <rFont val="Symbol"/>
        <family val="1"/>
        <charset val="2"/>
      </rPr>
      <t>y</t>
    </r>
    <r>
      <rPr>
        <b/>
        <i/>
        <vertAlign val="subscript"/>
        <sz val="10"/>
        <rFont val="Arial"/>
        <family val="2"/>
        <charset val="238"/>
      </rPr>
      <t xml:space="preserve"> </t>
    </r>
    <r>
      <rPr>
        <b/>
        <i/>
        <sz val="10"/>
        <rFont val="Arial"/>
        <family val="2"/>
        <charset val="238"/>
      </rPr>
      <t>=</t>
    </r>
  </si>
  <si>
    <r>
      <t>l</t>
    </r>
    <r>
      <rPr>
        <b/>
        <i/>
        <vertAlign val="subscript"/>
        <sz val="10"/>
        <rFont val="Arial"/>
        <family val="2"/>
        <charset val="238"/>
      </rPr>
      <t>c</t>
    </r>
    <r>
      <rPr>
        <b/>
        <i/>
        <sz val="10"/>
        <rFont val="Arial"/>
        <family val="2"/>
        <charset val="238"/>
      </rPr>
      <t xml:space="preserve"> =</t>
    </r>
  </si>
  <si>
    <t>Shear modulus</t>
  </si>
  <si>
    <t xml:space="preserve">G = </t>
  </si>
  <si>
    <t>Constant D</t>
  </si>
  <si>
    <t xml:space="preserve">D = </t>
  </si>
  <si>
    <t xml:space="preserve">Load data </t>
  </si>
  <si>
    <t>Vertical displacement</t>
  </si>
  <si>
    <r>
      <t>u</t>
    </r>
    <r>
      <rPr>
        <b/>
        <i/>
        <vertAlign val="subscript"/>
        <sz val="10"/>
        <color indexed="12"/>
        <rFont val="Arial"/>
        <family val="2"/>
        <charset val="238"/>
      </rPr>
      <t>z</t>
    </r>
    <r>
      <rPr>
        <b/>
        <i/>
        <sz val="10"/>
        <color indexed="12"/>
        <rFont val="Arial"/>
        <family val="2"/>
        <charset val="238"/>
      </rPr>
      <t xml:space="preserve"> =</t>
    </r>
  </si>
  <si>
    <t>Non-treated ground displ.</t>
  </si>
  <si>
    <r>
      <t>u</t>
    </r>
    <r>
      <rPr>
        <b/>
        <i/>
        <vertAlign val="subscript"/>
        <sz val="10"/>
        <color indexed="12"/>
        <rFont val="Arial"/>
        <family val="2"/>
        <charset val="238"/>
      </rPr>
      <t>z,0</t>
    </r>
    <r>
      <rPr>
        <b/>
        <i/>
        <sz val="10"/>
        <color indexed="12"/>
        <rFont val="Arial"/>
        <family val="2"/>
        <charset val="238"/>
      </rPr>
      <t xml:space="preserve"> =</t>
    </r>
  </si>
  <si>
    <t>z</t>
  </si>
  <si>
    <t>state</t>
  </si>
  <si>
    <t>E</t>
  </si>
  <si>
    <t>n</t>
  </si>
  <si>
    <r>
      <t>g</t>
    </r>
    <r>
      <rPr>
        <b/>
        <i/>
        <sz val="10"/>
        <color rgb="FFFF0000"/>
        <rFont val="Arial"/>
        <family val="2"/>
        <charset val="238"/>
      </rPr>
      <t>'</t>
    </r>
    <r>
      <rPr>
        <b/>
        <i/>
        <vertAlign val="subscript"/>
        <sz val="10"/>
        <color rgb="FFFF0000"/>
        <rFont val="Arial"/>
        <family val="2"/>
        <charset val="238"/>
      </rPr>
      <t>s</t>
    </r>
  </si>
  <si>
    <t>Eoed</t>
  </si>
  <si>
    <t xml:space="preserve">G </t>
  </si>
  <si>
    <r>
      <t>l</t>
    </r>
    <r>
      <rPr>
        <b/>
        <i/>
        <vertAlign val="subscript"/>
        <sz val="10"/>
        <rFont val="Arial"/>
        <family val="2"/>
        <charset val="238"/>
      </rPr>
      <t>s</t>
    </r>
  </si>
  <si>
    <r>
      <t>k</t>
    </r>
    <r>
      <rPr>
        <b/>
        <i/>
        <vertAlign val="subscript"/>
        <sz val="10"/>
        <rFont val="Arial"/>
        <family val="2"/>
        <charset val="238"/>
      </rPr>
      <t>0</t>
    </r>
  </si>
  <si>
    <r>
      <t>C</t>
    </r>
    <r>
      <rPr>
        <b/>
        <i/>
        <vertAlign val="subscript"/>
        <sz val="10"/>
        <rFont val="Arial"/>
        <family val="2"/>
        <charset val="238"/>
      </rPr>
      <t>1</t>
    </r>
  </si>
  <si>
    <r>
      <t>C</t>
    </r>
    <r>
      <rPr>
        <b/>
        <i/>
        <vertAlign val="subscript"/>
        <sz val="10"/>
        <rFont val="Arial"/>
        <family val="2"/>
        <charset val="238"/>
      </rPr>
      <t>2</t>
    </r>
  </si>
  <si>
    <r>
      <t>C</t>
    </r>
    <r>
      <rPr>
        <b/>
        <i/>
        <vertAlign val="subscript"/>
        <sz val="10"/>
        <rFont val="Arial"/>
        <family val="2"/>
        <charset val="238"/>
      </rPr>
      <t xml:space="preserve">3 </t>
    </r>
  </si>
  <si>
    <r>
      <t>C</t>
    </r>
    <r>
      <rPr>
        <b/>
        <i/>
        <vertAlign val="subscript"/>
        <sz val="10"/>
        <rFont val="Arial"/>
        <family val="2"/>
        <charset val="238"/>
      </rPr>
      <t>5</t>
    </r>
  </si>
  <si>
    <t>T</t>
  </si>
  <si>
    <r>
      <t>s</t>
    </r>
    <r>
      <rPr>
        <b/>
        <i/>
        <vertAlign val="subscript"/>
        <sz val="11"/>
        <rFont val="Arial"/>
        <family val="2"/>
        <charset val="238"/>
      </rPr>
      <t>zc_ini</t>
    </r>
  </si>
  <si>
    <r>
      <t>s</t>
    </r>
    <r>
      <rPr>
        <b/>
        <i/>
        <vertAlign val="subscript"/>
        <sz val="11"/>
        <rFont val="Arial"/>
        <family val="2"/>
        <charset val="238"/>
      </rPr>
      <t>rc_ini</t>
    </r>
  </si>
  <si>
    <t>F</t>
  </si>
  <si>
    <r>
      <t>e</t>
    </r>
    <r>
      <rPr>
        <b/>
        <i/>
        <vertAlign val="subscript"/>
        <sz val="11"/>
        <rFont val="Arial"/>
        <family val="2"/>
        <charset val="238"/>
      </rPr>
      <t>z_el</t>
    </r>
  </si>
  <si>
    <r>
      <t>e</t>
    </r>
    <r>
      <rPr>
        <b/>
        <i/>
        <vertAlign val="subscript"/>
        <sz val="11"/>
        <rFont val="Arial"/>
        <family val="2"/>
        <charset val="238"/>
      </rPr>
      <t>z_pl</t>
    </r>
  </si>
  <si>
    <r>
      <t>Ds</t>
    </r>
    <r>
      <rPr>
        <b/>
        <i/>
        <vertAlign val="subscript"/>
        <sz val="11"/>
        <rFont val="Arial"/>
        <family val="2"/>
        <charset val="238"/>
      </rPr>
      <t>zc_el</t>
    </r>
  </si>
  <si>
    <r>
      <t>Ds</t>
    </r>
    <r>
      <rPr>
        <b/>
        <i/>
        <vertAlign val="subscript"/>
        <sz val="11"/>
        <rFont val="Arial"/>
        <family val="2"/>
        <charset val="238"/>
      </rPr>
      <t>rc_el</t>
    </r>
  </si>
  <si>
    <r>
      <t>Ds</t>
    </r>
    <r>
      <rPr>
        <b/>
        <i/>
        <vertAlign val="subscript"/>
        <sz val="11"/>
        <rFont val="Arial"/>
        <family val="2"/>
        <charset val="238"/>
      </rPr>
      <t>zc_pl</t>
    </r>
  </si>
  <si>
    <r>
      <t>Ds</t>
    </r>
    <r>
      <rPr>
        <b/>
        <i/>
        <vertAlign val="subscript"/>
        <sz val="11"/>
        <rFont val="Arial"/>
        <family val="2"/>
        <charset val="238"/>
      </rPr>
      <t>rc_pl</t>
    </r>
  </si>
  <si>
    <t>d</t>
  </si>
  <si>
    <r>
      <t>Ds</t>
    </r>
    <r>
      <rPr>
        <b/>
        <i/>
        <vertAlign val="subscript"/>
        <sz val="11"/>
        <rFont val="Arial"/>
        <family val="2"/>
        <charset val="238"/>
      </rPr>
      <t>zc</t>
    </r>
  </si>
  <si>
    <r>
      <t>Ds</t>
    </r>
    <r>
      <rPr>
        <b/>
        <i/>
        <vertAlign val="subscript"/>
        <sz val="11"/>
        <rFont val="Arial"/>
        <family val="2"/>
        <charset val="238"/>
      </rPr>
      <t>rc</t>
    </r>
  </si>
  <si>
    <t>(m)</t>
  </si>
  <si>
    <t>el/pl</t>
  </si>
  <si>
    <r>
      <t>kN/m</t>
    </r>
    <r>
      <rPr>
        <b/>
        <vertAlign val="superscript"/>
        <sz val="10"/>
        <rFont val="Arial"/>
        <family val="2"/>
        <charset val="238"/>
      </rPr>
      <t>3</t>
    </r>
  </si>
  <si>
    <r>
      <t>K</t>
    </r>
    <r>
      <rPr>
        <b/>
        <i/>
        <vertAlign val="subscript"/>
        <sz val="10"/>
        <color rgb="FFFF0000"/>
        <rFont val="Arial"/>
        <family val="2"/>
        <charset val="238"/>
      </rPr>
      <t>ini</t>
    </r>
  </si>
  <si>
    <t>J =</t>
  </si>
  <si>
    <r>
      <rPr>
        <b/>
        <sz val="10"/>
        <rFont val="Calibri"/>
        <family val="2"/>
        <charset val="238"/>
      </rPr>
      <t>∆</t>
    </r>
    <r>
      <rPr>
        <b/>
        <sz val="10"/>
        <rFont val="Arial"/>
        <family val="2"/>
        <charset val="238"/>
      </rPr>
      <t>u</t>
    </r>
    <r>
      <rPr>
        <b/>
        <vertAlign val="subscript"/>
        <sz val="10"/>
        <rFont val="Arial"/>
        <family val="2"/>
        <charset val="238"/>
      </rPr>
      <t>z</t>
    </r>
  </si>
  <si>
    <r>
      <rPr>
        <b/>
        <sz val="10"/>
        <rFont val="Calibri"/>
        <family val="2"/>
        <charset val="238"/>
      </rPr>
      <t>∆</t>
    </r>
    <r>
      <rPr>
        <b/>
        <sz val="10"/>
        <rFont val="Arial"/>
        <family val="2"/>
        <charset val="238"/>
      </rPr>
      <t>u</t>
    </r>
    <r>
      <rPr>
        <b/>
        <vertAlign val="subscript"/>
        <sz val="10"/>
        <rFont val="Arial"/>
        <family val="2"/>
        <charset val="238"/>
      </rPr>
      <t>z0</t>
    </r>
  </si>
  <si>
    <r>
      <t>s</t>
    </r>
    <r>
      <rPr>
        <b/>
        <i/>
        <vertAlign val="subscript"/>
        <sz val="11"/>
        <color rgb="FF0000FF"/>
        <rFont val="Arial"/>
        <family val="2"/>
        <charset val="238"/>
      </rPr>
      <t>zc</t>
    </r>
  </si>
  <si>
    <r>
      <t>s</t>
    </r>
    <r>
      <rPr>
        <b/>
        <i/>
        <vertAlign val="subscript"/>
        <sz val="11"/>
        <color rgb="FF0000FF"/>
        <rFont val="Arial"/>
        <family val="2"/>
        <charset val="238"/>
      </rPr>
      <t>rc</t>
    </r>
  </si>
  <si>
    <r>
      <t>e</t>
    </r>
    <r>
      <rPr>
        <b/>
        <i/>
        <vertAlign val="subscript"/>
        <sz val="11"/>
        <color rgb="FF0000FF"/>
        <rFont val="Arial"/>
        <family val="2"/>
        <charset val="238"/>
      </rPr>
      <t>z</t>
    </r>
  </si>
  <si>
    <r>
      <t xml:space="preserve">DATA: (input data in </t>
    </r>
    <r>
      <rPr>
        <b/>
        <sz val="16"/>
        <color indexed="10"/>
        <rFont val="Arial"/>
        <family val="2"/>
        <charset val="238"/>
      </rPr>
      <t>red color</t>
    </r>
    <r>
      <rPr>
        <b/>
        <sz val="16"/>
        <rFont val="Arial"/>
        <family val="2"/>
        <charset val="238"/>
      </rPr>
      <t xml:space="preserve">, results in </t>
    </r>
    <r>
      <rPr>
        <b/>
        <sz val="16"/>
        <color rgb="FF0000FF"/>
        <rFont val="Arial"/>
        <family val="2"/>
        <charset val="238"/>
      </rPr>
      <t>blue</t>
    </r>
    <r>
      <rPr>
        <b/>
        <sz val="16"/>
        <rFont val="Arial"/>
        <family val="2"/>
        <charset val="238"/>
      </rPr>
      <t>)</t>
    </r>
  </si>
  <si>
    <t>DISPLACEMENTS:</t>
  </si>
  <si>
    <r>
      <t>q</t>
    </r>
    <r>
      <rPr>
        <b/>
        <i/>
        <vertAlign val="subscript"/>
        <sz val="10"/>
        <rFont val="Arial"/>
        <family val="2"/>
        <charset val="238"/>
      </rPr>
      <t>A</t>
    </r>
    <r>
      <rPr>
        <b/>
        <i/>
        <sz val="10"/>
        <rFont val="Arial"/>
        <family val="2"/>
        <charset val="238"/>
      </rPr>
      <t xml:space="preserve"> =</t>
    </r>
  </si>
  <si>
    <t>R0lGODlh9AH0AfcAABskPiwvL1BWOWlrJ3l2LAshXxctXyM4TDY9RRYgbgwtdhYtdiQpaiY4ajU+cTtLSihAUDlKYUBUSUVOWEBWW05ZXFJiRHV5RU9acVBjYGh2YGl4dJQ2BKgyBLc+BMk+GblkBLR2BMJJCuReNIR6XMhoQHOCYJCTPKikLNmFENyqDOSeKPKXMPOlLPa3Jvq0OOvbFfrdFOvlE8TGLNzPLNrcJPfAIvrPLejRJvfcLfzBOuvcMevkMezvMPfkMIGOUZSkXLSvSL+2TLS9X4KQbI+Wbq2yYa+xe/q1T/yqUdySbPyufNXOR+jcUfznTfTvTuHlU+/kUMzabNrbbsDCdMjNdufccN/vb9LldO7lbfzobePjcQkkjxQujQsukR0vkRE3kgglqQovrQw3riRImTxWtExSjEBgqAYvxgUv1TRZxmB73XyT4YKUhIymlJSylJe0uaiqoOSqjM3EiMzOi9Tjjvvuj+zOvNT2tPrxqYec5pam4qGx6LzG5vDWyOrq3PTi3Pnu2vz40sLN7tPc7uru9/z+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H5BAQKAAAAIf8LTkVUU0NBUEUyLjADAQAAACwAAAAA9AH0AQAI/gANCRxIsKDBgwgTKlzIsKHDhxAjSpxIsaLFixgzatzIsaPHjyBDihxJsqTJkyhTqlzJsqXLlzBjypxJs6bNmzhz6tzJs6fPn0CDCh1KtKjRo0iTKl3KtKnTp1CjSp1KtarVq1izat3KtavXr2DDih1LtqzZs2jTql3Ltq3bt3Djyp1Lt67du3jz6t3Lt6/fv4ADCx5MuLDhw4gTK17MuLHjx5AjS55MubLly5gza97MubPnz6BDix5NurTp06hTq17NurXr17Bjy55Nu7bt27hz697Nu7fv38CDCx9OvLjx48iTK1/OvLnz59CjS59Ovbr169iza9/Ovbv37+DD/osfT768+fPo06tfz769+/fw48ufT7++/fv48+vfz7+///8ABijggAQWaOCBCCao4IIMNujggxBGKOGEFFZo4YUYZqjhhhx26OGHIIYo4ogklmjiiSimqOKKLLbo4oswxijjjDTWaOONOOao44489ujjj0AGKeSQRBZp5JFIJqnkkkw26eSTUEYp5ZRUVmnllVhmqeWWXHbp5ZdghinmmGSWaeaZaKap5ppstunmm3DGKeecdNZp55145qnnnnz26eefgAYq6KCEFmrooYgmquiijDbq6KOQRirppJRWaumlmGaq6aacdurpp6CGKuqopJZq6qmouiWIIHZoEUUO/lNkUIAYaKSBBhpjpDGGGmqssccghYj0Rx97rKEGGWnYequyYTRQxBVRaJHHH8GCKkgeWjjhgw855NDEEQhwIUYYyuaarK68ntHGHx7lEccGZZChxrm2KpvsGAtUMAUUUWQRhxls8DHIptfa4YS2MSScgw9WENFAF+Qum6u5yYpBhgNu5JGHIBixakcdGyRAb7LL3lqrGGIcMMQTOGgRxxfyrqFHH4RYuqrBPiSsc8JRWIFBAuYuS3Kut4oxRhcP1LGFtBxLVMgfgWQRRRRHNMCFuUSbfCvRYhRABLRWFMGAGPeq8Wsh1UIqiBY57yyDzjtEQYcDV5NMb61ao9HF/gFHQNGtFk0/VMggJtRxgw9bADHruWPgausYE1fMRQZ1RNGE2I3TqwYbAz+ahxNux/D2zjskzsAXI9+N99YKtOF3DE3UYUIfaSdUCB9rKJDBHTmUvoECFEfOeL1hhAEBFVeEzQDkj+uKqxqdK4ot6KJXb33CMuSwhQlA11rvuRIz7kUGW+wAQw51YHAGGzUnNAgbaowx/hTe1kGBF/QGrSvkQouxwBtZaEIcDACGkjEvWZuj3aFY9YS2jc56b3ubD6JQBwt0L3V4s1vFKECHV+XgDg8AQ68IUTuBDG4NyJLf7uJGBQh4wXv3GhnRSLYAE+yrCAd4YQwzh0BftW9Q/qxqW/UieD2dQaEKCOhC6h5HMXp9YQFUaEIOojCFB+hwDcAiSCH6sAbwecECW2hCFtxgAB7CUIb1GsMXKLcFMvKQeU1Ew+Z+CChBUA97OhsdEUdHtQPQynt4QxkayFavWo2BAXGQYs8i8MJcraEPBOHDvMAHBspZIQttAF7jzmgyXXmycV0wgxSw4IYGNNGTqkvDGujIpyDmEY9ExCP2tlCEBvyRa0bzgri0ZisxMKAIVrhBDugwAR0ikA2GKAT8RoYGMFjAClaYwga8YDQe2qp4MAxaGCIwhDq0wZQkO+PwaqUGPZQQT66EpSyHuDMeWMEECwhDyQbJBQc44GF//twaGr5AAvp90IolS8PmUIiG4qVBnmFQgAXqYIW5URNXgCzeF+QZRy804Ah1cMPympe/cJpMXX1i285eqU5Z5sAKGVhA41Y6BgUwIANtWAPdIFq0NVoBB+grpiH3dywxQKx4xQMDACwwBSvMwZbV9F4YvsDUiTpuYmJowBvqEIcEcGGiXzAZ1nQFVDViIHp4ysNIZblHksZgB1a43y11tQAzvIEO73LqJvdZATpI0Q8AvRfkwACGBvh1AU9swAEOMAApbOEIC3hoyb7ggA1swAxf2Goa/LeuIgQgAZhNADb3pysxfCEBn01AAOIgiHPKKQ9CXOcDyaqzJhCzC5vs/iwE2lCHPOAhDg7oglb1NgE6eMsKDjAmrsiwgTNoIAPH3UAGkGuBEzAhC0eYVVIP2oAN9GEObQhu5AbZhcLF4QEIiIA9HXDAe4lhvBFAgACKkAdWnja1q33gavHogybMQbta9UIEqGAHMaYPts3zAgLocIMm4NWYYwBDG+BABzpQ4cFzeDAVhjCDLYQNaLdEAxcwQIXagswLXsiaGLiwgTsM4QQ/IAEJiNCGMhjNk2IowwbasGITnOAId3ADJOm0ttCt08cjbcIQGhDi1emuDk2gwQ7sQIQvEFK2c2gCFYMbyAa4oQ5K20IWrLCFLmdBahTk3h/v1bo6TIEJV4gD/iOZd6sEYEBpTJDCFBo8iA3I05Bg2MAg6DCFOesAmibgHJ1EOtZCQ/CV32pAGIImBjAQwQ40iEEN/OUA1OGtr0doQuwioFtbecEAcahDFnjAg21tq4FPcAJaNXBBXI3holeoQQ2uUIcMAE9rG6bDqKHwhCdkAQ/TzNwYxLCBPIBZC1u2AgkANidBwBd7qQXy6OpbhAW8+JoXfQIMcia3CGTVcWCAwBFqsEgdFtQAQNCC+UYqwRgwodYbvRcYIkAHbcuAB0wuQGz36QC78kAGPthBE+ywAd0WrQsbqBwMeNAto27gC2dwL5u0kIPQxdLQr2RYk8eMBv1WQdsxgIFr/ivAgDAYTQxeOAAQpkYHCgg7DAwAQhZ2wO6dUbECTmacAjZwBRy8jQdSOAIAQnzQNHTBAVSAQs7eRkUTFPlWNZx5DLqVgxu8cwFkQCacnD31sV78lfKNQQ+mYIIu5PNoZvh49ZpgBQ0AYAFcUIAXFgCAlT9hChEAg/N8me5/AxkGO6BDBaytcyJkAY+J7nTFLpoFGMBtewbHFRdIsIWKK6xnZceVadNkh65jTwagB3KhJSjNBWxNV13IgBVyEEFvnUAAE8AABWYvgCBMkQ4PgKP/3GAHUndLdD54YODvl02VRyGP9k1iJ8VggCMcXmeI24C1TRZ1mj8enmTjw+bN/mRHzxfxx+AHOB00sMut1XD17ebBDIIAhPa7AQgoYMIOciAFChSwl1a+wham1oQn8KCBPuB4O1AFjPRkYwABc3B8rUUHGBB5k/U/UcADOsMDWVBwc6UAJpAFv5cwvjN9q+QmYqUwhvZ14NcDVVABT/eARZAFOJBHPsADUMBlXmYFUVBgeAcGXPMFbUAHZlYFRcUEZyZFItdCxqQr9AYFebRqV7MszFcErwJ927OEt+IFGWh9CcMDkEcrarBjbGIHb3MDNzBSYQh6saRHsMQDVUB8JsN8caAFLciB98YDUdADPRAF/NItN1AHOjU0a9AGbVAEgEgEgOhc3dIEROg9/pBDAXUggdjDdiSwhLnCfG0QgXBTgaa3NVS4epYXA1gofbSSBtrHJnnwBKMThjEAhpsYQaEXfj5QBVY0V1GVad1yPo4XhzsgA+bDcAVmBcWkTWRQBmZAARFgBhEQewKAAqsXBUN2f8kCBoqYM44XAxp3iUVjAESwBUKEOE6XNRiIjaSzBZ54K4K2JqMYenjoAi4gTJ8XevOVR1FABYykNcwXZTpDdaX2b/9GczAgcryoAIBUUFwQdwFpVQwAACRAcX1kRpW0BYyYAwuXBdX2ibiiABdQPhNoiSVDhVI3ge/kZLWyBnwgij0gQTmgAy2QAingAqnIjuyUR09AhLDY/gB2VY8L438RuAOl1gPcYnUIQHThFAbUZDRh0AVfAAArKGVvcAD75gUaYAWp5QMQOX0VUwAZmI1ZYAJ1cyvdyIgKA47TJ0chuSZ20DYlyQIgIAIikAKm2JIY944HUEDL4gUQMAU70DZxY4f9Ei1S9gSv0gR3IAH+CD5raDSD9ERHSTVlREj7ZENciVNUY0vkoitc0JSb6E6Zh4kZuIlTZwXhmAZksAddWI8tAAIdUJohYANreT1lyDNUkEMZSW/Wt3BMUAW0SQVVQAVzcJs0UHVV9ELz1ElK9UsztwVvQEC1Ik9d8ANTEHI2VzWfaCsG0JTc0pXhqJVV+I1l95x6/hCawuQCIOABH/ABHgAC6Yhx8RUDfeSbteIFEjAFCihyBDAAFrBcy4UBGjAAJ9AvelhkgplBtmKY5dMEQGBKgLQAP9AE1meKCSkxC5ABG8mJV2l2hqSRNDc6J/Vw+bSdYnmKOpACIlCaHfAB5Jmao2c9iEl0U0gBVmB9OwAFAxAAENAADsAAM9oAAUACUgZC6hlOMXQvC7CC7vQGYxMxYqAARSBFOzNFVGBLQbMAzzSdm3mZ1umUSZqFJqOhamIHwmSW4BmeHTACNoBxh8YzR+BHqOQFFVAHFZcDPDAFFnAAAckFxXNV0Sk1dQBQZvQ9E4MGPxqgAySRaGCkTSCC/gljiExaMWuUBUJkmYrVcddZj5z5lWiApZx3A0iQAh4QoiPwAV+KmjpDot8HXUrpRWBEcxPkpgbgBQhVUAmlAVOQBXUQAVzQSXbTRC1VBPt3ObYUSApwAk0AjZaXA0s6ZvjioPMXcliYnSYDBheggdgpobZCqWiipSzwoSLAAizAqSNAoiS6im8DXWUUOVxQqoXqpj6ZRl6wAVOwBbHaSOLETH16UnEgqXx6pND4NjDgBMP6iUejelxpmZEXqNdpoVYqjqL4AiXgASIwAiywBJyaAhX3hSWKR4hJMWiQAORTcSInBRUAPPkzbBuABVBAB/FoTd9zL4H6LN6iUZkD/nVHqrHV4wRHhTLm0qCjprHJKqG3AgYaoKhV2pmT2oUr8KEgwAJJkATh6QLgJ6ZacARlhGtgNKgwQEUZIFz3kq5TEDsUsFYetVNjgG6jJkAGIJFF+rKi8zbdsqRv1AUWoKjWB7Bag4EPelZWaital6WY6gEpkARIwAIdIAI6EIDtWFIJA65kczJfUAEWeaoZgIPZJD/qyq4lKzT6pFcGUARQwANi27L1iqREZF9MakipR4MJs23bQ42O6qwEq6y1Iq1ncgciMJ4soAM68J1qGXyr6HWvVLFa8wUSoKY8QwdVC1FB8wUbIDXEpJ7/uFtfi7mWU0tzhS9ma46Gem39/vqgyUqN8vOoHFiwaeC6ZgK7HBACOmCp39kCETu4oyeqh3srXaAv8ze1TJBSecNWG7B/yUurytJJw3a5AfoGuzoxXnCkFbp2w4qIqSc1efRO0Cqwzvp4GwAGtwS+ZbIEJSACK3ADOsACHAACL+CQJEhSfFSm+HNwv2t9VOuRseVZTRk7OkW5+6tXRhpGAkqgm7QARLCi1uMtzomINruBpQNPWkOhO3y6n2g2bHIHIAACOtAESBACaSlMY6i+7EY1CBAx3BUBdUADOYMDW1ABAUtDG0CD+Uu5RUNTYHC5AdQExQmXt/IFJqDD0/aYhAQ5CtDC0aiN0Co/zcqVdOt0/n+kBmGpJndQAikQBTrwAiIAAipQdTsTjTWnM1NLBVf8OM0EAVIwqDFAA1aAc8TbS8b7ZVPwwlpVPOOCcglVAD8QQLwLUWBAAjO3ihNUNUIzBgkwxkB8lagrt6mIPiagAEfMhWlyB0rQAk3wAikwvjZQdTlgAyrwhuZJple8OnI5kwHIsQzwVJFovND0WvuLK3zVAOG8ADZ6AjMHBUaglL17vAUsjWw8tkNTALgcrNvTqFRIiaPjO7eWBuOoJoAgB0iwwd+5AnioAysQAkpburorA5OMAO0rP8cDBTCQPVZgAaYER5OFcDS4n1ozBmZAn8h1XPcZBFAQN2W6UlvT/pTrljATBASE9ziTR7oK804PZSvd+JTbAzxkwz5tcgdIgAQl0AEe3C2JvMQqsHQTi55zgACooyxd0ABUsAUcaAUCUABXEzmQa2GjrLzpCgcPdgRgfQRBEARMEIBCRqAQNbqazIFRqZhj4DWrV4/1nE/dRYnXd2toMMhrAgh96wEewAIvIEwb3ME2EHxiirZzMAFKtDXN8gZR4HjeIgBvh9EJdrxWoIezWlMZgwVZq2li9KsO+S3kNUju668jtQVEIC4RY8s5vIknBch4c89+vAOyA8y7IsxqEghLELsejIovEAIeEALpG81oCMbhxIaHdz5NQAICkAFkoM07h7+9/gjKvPcEdOgDqWZqrOlCZ4ymUiBE57M9CZBNalylv5w1NeSNch1saBBxbhIIcqCwGSzFLRC7LJC+7fhAragB+MM1C9AGMxeGOcAER8AHZEA2E5NnWsaLJdw4vzQFNcDQQxR8OWNfDkAr/OMFDzAHfqcwU0B+EtO8UbCK2gPbU2gC+Ny9ysoG2xe+eqsDVNehCvvBZ0vFAPfh5jZIC4DLp2h1WEYGwlbZFlbG3OUGUyADI8mckAw7cxCP4AYBRjDiCSNMc1ABs3ouURUHCqgwV+mxUGcCDJmktU0rCvQmKYAE2zJ19a23SDDckTzV20gyPoUB7nkDgPcEV0AHZMCM/pVNg3egUyu1AG6QBSMJcBP9yD5Asi92MjG3BeeTMPpaaUU3WRd1fBZK0/yqkX6sPb8DOS1+JjrwKm/jApgqAi0AhrU4gixNdioFPlxgBh2kM1EgBUOw54iYZ9C01RC1e9ZNRNDInHKDAUQXiT9qBQy3mUfgAJGZLF6AdJbelbBt02A+29uDg2vw6WbyORPtA6PJASlQvpoppj4ABUDguI9zXlTwBA7JpleQlAiG63JTTCi7AHFwBbf4ewHYOwsXeI3bRJNTB1CAUy3TBkBjN2HQb1Y4dXNtMnKb8CWuAFknJ4GgLT5wAynwt43syGb1Y1kwoGYUVYNOczswaz8w/rZ4A7mXxODE+z92wGsH0wROEIFR0GurFpjn8urIswNxw5njTS7kouG+ZXMM3L7MOmrYKUK47SZscwP13QFquYFiujNQcAQRAKgop65REHBN4KYvPZH361ry3lldQFtFZQV3AE3RtC9bD477XDEM4AZXAAVQYAdUYAbi4kV1pZklHnnba/RwIztgcAZ0gi0vMAJ+rQJ3dNjQZ4jcPcQcxoIDdwQTMFFynmdfZgWM5El604d/CIieXwTtdwJDYAfnbbFHpn948E2+WXTjE0BCr6zSHgUJ7ztnQMFsIgh34KEvHrFTHvUciHfUNDRR1QaXxK4bYDWRqeNj3FBhfyth/kAGFEAG4uUAZuAAEXD9EiAAJ0BV+obVXBABbtBgb2BrEol6x6v3kDfE3PvHelYndzACf/sCOjDRVGxWTbAFFADM+ys/GIBRdNAGAGEmAZo0acKk+dJlw5YsViZ4STMmDRo0Y7woUMCFywKNHA0A+GHliAEwY8ZURCNGAYU2bTY08HKSYEUFRLLkiBEDZ44tJrqImanARBQeOXPyqGOCTSFDTZ0+hRpV6lSqVa1exZpV61auXb1+BRtW7FiyZcPeKSEihY4cN2TIMBpXbtwcUzIokClxTJgGGdxsMAPGC8GCacQo3GKFzkOCEimKERMGspgxk7sAKJLnSIOSFU2K/vGyoAwFMgqATnwMpogWnEZ5mlhAkSIYE1t8xIAbY8cWN3zM/gYeXPhw4sWNH0ceFpAcEC9utM49F3fO6D6maCgAVHbljRFKQy5cUMyXhVGsUIgZHqVelI8ZZK4CAYwY1Ca9eNnIZfBMw2IgAHmitaN6+gk1oYgySgae4iAkOQcfhDBCCSekUEI/kMhBQOk2zCkHK4gwIDKKIjJMoy72Qo2wMBCzog7GRpxIovoIMyiBNuqog4KSCmrMsDB+lE020MigIgoBFSTwNDS6MCGLHaaLgYctGqywSiuvxDJLLYcLxA4NOaROrhyaAAKAvArSKwwaDaMRsSameGA/whzb/i68MBIgwoor7lpzIoMOKmwm0CgY4gm5eMjCpyAXMAGKolzL448tJ6W0UksvnTAQnGCIC67ooAQ1hiioMOALvWRMMVDtJkIsizriDJJEHmULj4E2rLCjDdPUC4/HFFWiQIoo5JLBCtjom8iL2h7NaQdBmMI0WmmnpbbaqZy4bcNPP212CgS+qCgivVADNCWTIgKjPDrQO9Ox+tSzNYssNkMW0F5TpGgMBTSo48m4fOhp14mEcjTMKKxFOGGFF6Ywj50SDDU3bn2wI4Mv6EOVR3sNk3GMdK2Iog4JBjuJRBlhVNFWK5qgI4LBCsvYT/YuIkILHL7saYGS0VC2YLhy/rCDYaGHJrposLTIltttQ80hiyIS6DjQez1Dd4OV6Ri5zl75m+k9LbKgwwIukD35Xr28gOCNm+bKggS8glrWqIONprtuu422w4lOofQ0TLqskKMBcKemEcaIvNigoTuyNpywNQkKwwCbnLCChASULFlqNMfgQoIqmnAtJx+MNc0xZa3IMAaK72a9ddejFUQLiEPl+9Mm7nhg8HvVo1Ulq29YbD9e/SSeZwOKANmKIhigDF9e8y0ggy1AD93DDS7OtwsS1o5BizxeBz988RvWW+Iwze9bpxuy0ICBjTeedTvErdBiceHjRw1fMY7fIoomhIjAT/JFKwJyrgFFyAKz/lrjIRL85CT6ugDqMqSF8VXQghcMjiDsMDsOfcpDyxuc4QKVEsqIgQwKWRmcumAQX80kSAdJieSukIMoXKcAMglSDtEQhi9MoApQEJNOrHA97aCBUVm4Qfe+h0EmNtGJWRGEocAUneg0jQoPGAgM+2SSMIxhDZRRSEOmQIGN8WdWvtIXEbawAxxEwQ03DNIDY/WFBJRHOubxCVBOIpQtZGiJTwRkIAO5wfNNB31Q4kETqtC+LuQLVY7hXBnYkBDEQEFkEGGh4ei0HQW0IQs+2EEUqvCAt/XogRP5kQOKYAcYcEouOzBWI/VCmy3wQAuCEGQudXnBKIKKitJ5yw6g/nAECJQuXOMySQE2wAcybGQDdYjCujDJMZOZTEjHA1mUsAAiL2Bsayn5AgbmEAVXQowHsdSOvjaABR/gcpfvhKfrkGbIQtJOBjWAAh4sYIBuInMiYuCCAdxACAcwgDxZsGTWJmOSAcoRMl5IwGpy4AMcXCE+OtuifbA50bnIYAdZ2IDOPiOUKzwhnidFKd30xjeWUvEtPbjCECiQnQF6pgsJyAAdXJQAAGjAClCQwgMK4IUuKOA+XggDUpXKhTAwdQEAqBlOfNCDKRDBAdnJmH0UYIE7OOFL00GUCQqgkfsYoDbuTGla1WqtPEgxfeY7Xw9kYEkiQKALkvnMeBaA/oA3XAELFwgAAkjgqCkI4AAQIEMDGgABzjRWsQ74ggMkG4AiNKE1PIjCHNrXz82B4QAUeAMUopCtJEJMCxc4gAPAgNgD/OCPa4VtbCulQV/6zaVv4QEU6KCBCCwgAV34Ah0TEAEizAEKUEABAQiAAhw0gQknsIAGpLsB6mpgA9OlbnU1QIIglLaVT2DCETLgAANw4WJFPYAFgHAFKHjQb1FAwXSlqwEqoFW298Wvldrqt71Rp4oAMwIRKuAAADCAAQ2YABGokMAeMEEIQmBChqIwgypUgQpUmEOGKzwHDGM4wxeG8KY4FQUnzOEIJHjAAQxsAAio94c1eIv65uIE/iYM4cIWpgMe8rtjHk8oD9miJ3/l4oOmzSEIJMiABgZgAjfMwQpPgLEPeEBkKufguE1owsrGhNkoGKkJzc3tE9goJsoNoQgkmO8PjIAFKNRArjkp7VzGJC895cG+PcZznoUTu4jVVi4weALl5iAEORyhCj9tLwxkIFdDZWuiUs7Qo31wm0lPugeX7gEPytkhGmrBClQQwhGoMIUmXJpbcc4Np6Y86SbcWc+vhvVYOBjkP6sOB05wgha2INon8EDTisZBjFuJA9zIgMipi3GYePCWYLZyLj7AtROy8LUnNOFJMnBlObmFG1e6OtbfBrdW7JA02sGZo4rWDbSJEoUe/kBBrpN2wg6eABcgFzsnm1YQDDS9bBmsmlhGwQFmodDGSXuq3unjrxPCvXCGYyWKB6fdpKPwhKlCeweh7LW/JY6t0WLLBxSf9L8qPVp2f3zVm5LOx31AFK9WOuSe+hKznfDahtfc5obIw0p/Se+VQ6EJPp84lpmwMv81oehZxrIVlO4ELP/cX1ECOsh2bYXpYXm0O+CU0nwg2sSsLAtYLrjoBMQpaAft5me3OSFpnRMazGAIR4C7qC9sYlEfwcahxnDc5xAHuouaCbfZARMubAQq2N3wVDDCED6H9YnRIAhUePuFjxBqJtDAB8lO0KKhYAdvo93zr6bttlUHBQII/oACFcgABTBAATNgYAKor0DsZV+BCWSgAq6fgBliL4AZ+AAGURCCBSxAewpQIPWxz4AELlCkHWA+SigQgABon/vXR7/3mN8UD65gB0l93vvg3m+QjW2FBwAAIxfBiAISQMcFLEAB7nf/+9tvUC50oQsGCIAR1l0mA5zfqBhJgAVgsSK4gqmKC2E6gQAAgAXoAt/6AgYAAAAolL65DUCDgioghO77vg18tTzYkB2YAgngJ4sQkcj4kcgoQRTsJslAQQU4gCOAgtEBApLoppiowZgAAwOggCnIAnSLARjwkB8AgG5CQYD6ggAYgtG6N52wpSqIAw3kwCjEM7cKE+uY/oCfgIwdSon1GKH2AAr6SAkueMGbcRoD2IvKmIyFEsMimIKnA8It+AF+0g4W/AIDOIJecw1pC7BBgBYp9MMdyzmWGp0rLKIgWZUR8hMXqogueEFrywI3MEM54kJwmoAF870OgUP3MUTIMAAqsA3RgQEtoAINYIM/NEUeswMpMgofqIMKAJftyCE1KYiDoEUe4aIx+AIEOIIouIEtKIKSwCFa4RE6MoEpMBS4aAJfXIBVcSQDGAIgkpsqIIENOMVqzK95yg0fWAwu0CEhkYwf4SFwTAkbBKgEYAA5wAEccJoGYCjHIR7DSAAM8MRf4wkiWMb4qQxnFDO2u4Ii2IBB/rDGgIwtPnMNh/iCcpmVpFKAAgiuBDDH3+IIjCgABYDAAAiCJuhFNyglRJxFg2CUKSAnGADBH7jHGImRBTiCGQLCaDKBPQAEgYRJtQq/KHERLnhH1PCC0cCADGi91sOAn9xJ2LM9AZCDlcsCIBCp4aERlTADGHySHWgCe+wTmhiCtdkBLQCCNqCSmOTKkyKk8bvCPjGMLmiDN3ADI4g7uHuDI1jLN3BLIwCCi9wBH3hEjNIcVKmI/dkAkIySqCzJcTGiXcyQN9HKrjTMk6I4mgzLxukiOMADLLgCHJHMyawDK8ACHsyCkLQCpMwcX0ET1AAoBzgCLYABgPkB0+iR/hhRgKoksnnpw8OEzVwSBGzJARdpJDMyCDJwzCvgTUCwgzy4gjwATj+wgzqwg+OaMkVzGmCUGVt0lx1iAJ+Kgt34gct5HDFYgKrMgY8ahECIze/MpbY6J/QIl6UEAzaoAhsrvLqTvCOYA8XLtKJopaNkRxFyJBKhCC6IACPAMjgsHXwZA5S8iSiIFPA00EEKGUJEGXE5gw3IgOzKrvmyrgE4gYLJukfcSMCUlREZg+hkAi2oKtNQkhixQyfJAu880BRtIkHIg/NQgPL0FTEAgxxsAANYMQPAUQNoAAYIgAFAEOqgT5n4TM8oz3zhAgRYpaRYRmaMIU90gs5T0SgN/p88YJznRCWNwFITCQOjaioD8ClmiYEtAAK8OA1xqQg1eMUH2gsGGIA7qANd4cYRyRcFGE0oldI7dR0iktMRUhMtVBM1KaH9sYBPpI4oAIKSWBW9IIM1IAO8IpHxYAAGaQOkGtF8pII/sFM81dS6iYMzOBcXShWNUcQY0oCCMYqj3EhxGQMy6IM1WL9jQoh47IM2mA85zZcGoINN1VXxYQMyyB/HyUJYdKSKMAALSKC4OEqM4lCT+II7iAMzOEhZwcUvYIM1AAMC8owzQNFd5VbWIQQ22FNvJMKHigw09AIDGADUMYqP4kxh9BgH6IM6IAGDOoiO4YIzsNZYqYgz/tiDbvVXbwVXRfQYL5jRiwCD9DtYAQSAAWgCIuuQdXRXj4GAIdAMDICajAkDMFADZowINfCNfwXZuhmENVCVMCAD0ii+lFVZDIi+E4i0hy0CU9GkMUCAH1LGEwmPMzxENFCDPXjNkAVahimEQVAD0ASDNTBLIHCDpU1aICgCp0UBIbCsDmFX5lkTj3kAKaiBLBhF1ISZyiCgNGCDrQzasmUYNihaw2gAOMARKZACLHDbt52CKVA6K9CBKMCBkGsaIDCVd0SD1fohEDyCCLDJnEWZMVADsjXbxU0YRlVbPsCDOuDN7ZtcLbgCLfgaeYGCxPyomB3R2YCAKqiBHeCB/iowgfX7zOJJA49l3NZVmEJgA1wkgyeUzOKsgy0oTldpkSy4gpXZge08SgbAIRbyggigAh6YS65tgLGZCXdZ3Y913eitlm8dDzZwg6eNgyLI3u0FgjjYXjcAAiBAAUfk22CdRf+ggvbKraRgAC4IxoLo2Z+V3vm1lKFdAy4wA53MvdabgJ80g+L7ydwTgAFggiZwGoPaQkARAwcoklaiKiqYqU9tDD1QXPq14ErpAzIoRwMzsPVLAIxov4xwSAZAACGIAjFlnkM0DCIhCkWDAl9c3uEd2wumYUzRAzU4wXDM4cmQjJRIgPzbAt5gHpPAITEwXiBSNBmIpgy4nAdK/twahmJL2YOijQwWSkRhRIMHfMYr4Ew19Qwy+JyieIsTBgIHiAkvAsgoVuMtKYQbRqUdeuM+pQgeYmDIBALO8AwiHoMjtjcfYJkNMI01gN41JuQrIYQ9IIMB0o4vXOQHXDMsGNPO0GPA7QGI8QEteIMIOAM+gMJC9mQKIYQ1uBhw/BGkYiojNMcj2AIuLi8WrEEFCN0e0BAlroI2cMlPxmUrKQPOWAAwWADB+YJebr8dRYAgyAIxDYDgasAZXYADeIDe2zTd2AJA6ORctuYH+YM2SL2VLb7ZGwAhsIIsCAIBmIDck4CUHWAm4IE4y4koMLtrhucI+QM6YEsjeAN7/lZLIEBLJfi7wAsCuIsDtIwDuEMBKIi0JMoQzovnhYaQP7iCXXuTKZCCKTguoJKCkLuBG7CCoaPouZ1bh0XoHLglhiZpB4kiHsi0Lmu3S6O46sgBj+MyEmsNhB7pkrbp48gDrBPJdNRpUAqiVsK6G/jdVkJoJ9jWm0bq4fixh9kUhOMQGCitiUrqqS6OQBSQr/qX2YHqmaPqrs6gvLk36Oig2XGCd/bqsyYLDfoq0fsl1TFrtIZrsVA7YOobT8kNO4vrvB4LL8k8uAIyT8lUvRZsq9Cg8rEtQ7oNY6O5wWZsrdCgxLZreoKLJ1DoxrbsrXjsyNZsignsy/Zsp9Cg/hgT7eng7M827axAmro2isU+7daOisemp9Vx7dmmiszGDcrubNo27cwubd327dfeoMr+7eEm7uI27uNG7uRW7uVm7uZ27ueG7uiW7umm7uq27uvG7uzW7u3m7u727u8G7/AW7/Em7/I27/NG7/RW7/Vm7/Z27/eG7/iW7/mm7/q27/vG7/zW7/3m7/727/8G8AAX8AEn8AI38ANH8ARX8AVn8AZ38AeH8AiX8Amn8Aq38AvH8AzX8A3n8A738A8H8RAX8REn8RI38RNH8RRX8RVn8RZ38ReH8RiX8Rmn8Rq38RvH8RzX8R3n8R738R8H8iAX8iEn8iI38iNH8iRXpvIlZ/Imd/Inh/Iol/Ipp/Iqt/Irx/Is1/It5/Iu9/IvB/MwF/MxJ/MyN/MzR/M0V/M1Z/M2d/M3h/M4l/M5p/M6t/M7x/M81/M95/M+9/M/B/RAF/RBJ/RCN/RDR/REV/RFZ/RGd/RHh/RIl/RJp/RKt/RLx/RM1/RN5/RO9/RPB/VQF/VRJ/VSN/VTR/VUV/VVZ/VWd/VXh/VYl/VZp/Vat/ULDwgAOw==</t>
  </si>
  <si>
    <t>R0lGODlh9AH0AfcAABkfOxopNSc4NkBMKlJXK2JqN2BgPwshWgwrXhctXSU7TwgfdBUhbAsseRYtdiQpazU+cDlMSjlLZkJWR09ZR0ZNXkFVW05ZXFNjQlJlXWh2X09ZcWl4c7YrBKE0BLY3BN44EqpCBLhCBLZcBLxoBLh8BMhgBtxGIPR7OYR8YNh4XGuCZ7+1PMiKCNmGEdyqDNyyDOiTIPaWLPWkKfayIfu0NevbFPvdFPjRGOzkEdvbI8zDN9bON9rZPOfRL/jcK/zCM/zPMercMOvkMezvNK2nSLKzVYGQao+WbbC0cL24cLyxf/qGQvykSvy0TsXDUPzCTOjcUPPlT+LkU/TvUNfQatrabMPCcMfNcszZcebcb9LldODub/HmbOPkcQggjgwojw4vjxA4kwourR4vrQs3rjxflExUjGB2kExevAUwyiFFyTBYxFx6zExq1Gx+yWSKxIKUgYymnJSylLG2ga61mZezt6e3vOSehOy2pLnOps3Eg8zOi/vvjsfOtOzGvOzOvNT2tPvyqoGU3oab4rzG5Pz50dzf5Ont8/z+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H5BAQKAAAALAAAAAD0AfQBAAj+ABMJHEiwoMGDCBMqXMiwocOHECNKnEixosWLGDNq3Mixo8ePIEOKHEmypMmTKFOqXMmypcuXMGPKnEmzps2bOHPq3Mmzp8+fQIMKHUq0qNGjSJMqXcq0qdOnUKNKnUq1qtWrWLNq3cq1q9evYMOKHUu2rNmzaNOqXcu2rdu3cOPKnUu3rt27ePPq3cu3r9+/gAMLHky4sOHDiBMrXsy4sePHkCNLnky5suXLmDNr3sy5s+fPoEOLHk26tOnTqFOrXs26tevXsGPLnk27tu3buHPr3s27t+/fwIMLH068uPHjyJMrX868ufPn0KNLn069uvXr2LNr3869u/fv4MP+ix9Pvrz58+jTq1/Pvr379/Djy59Pv779+/jz69/Pv7///wAGKOCABBZo4IEIJqjgggw26OCDEEYo4YQUVmjhhRhmqOGGHHbo4YcghijiiCSWaOKJKKao4oostujiizDGKOOMNNZo44045qjjjjz26OOPQAYp5JBEFmnkkUgmqeSSTDbp5JNQRinllFRWaeWVWGap5ZZcdunll2CGKeaYZJZp5plopqnmmmy26eabcMYp55x01mnnnXgKaciehgji559+9slnUXwKCuifheYJEZ9+9tEHFV1AKgUVk04aqaOBGuLTno32EWmllILahaN9CLKnogn1+agUP9zg6qv+sMb6KqWOapqTIKtKIeuusf5ABRWl2qoorlS0yuuxyLoKrCAy4aqrrDkkC2u0sU7ah7BxqioFq9LySi2yvkpR6kraGjvtuch+K+sP4Y7bJqd9PNvtrt+qi66rlppqUp+RmvsqtfYC7Kq90m5bK7Zl+lksvfPee0O9vP4grr4hqervq0Q0/G+6u05KMZmGxKuxtwM7fC7BvjL7kSALQ8twyQ/DvHHMNB8r8bVisnxxrALT3PPLGDecMkd9XBzt0SPznDSsP7jLpSCs7rx0z+oSTPC6UnShckX8/lB1zS5fPTPHPvMK6dZWaist1TCLja7bJiuL80QhsxpwzEjjPTP+wHkLjPTdJff8w6inUtlny8fC7TLYG/8NtMw3iItwQ4J0YS7beWccOON7Qx6z5np7fkPTH0NpCOJXf0124puD2zisVEyeKsus52B73korXrbtNR/tuOeDRxmy0quzTXLveuvuO9ixM6Szq1I/zHvfybsK+utvBz32yUzPveSjl7eevds/E4/74ui/OnRCUJsb/fRlp8/w73dbHTEVaBtZt7F+b97/8ea71/m2p7jmHaR9NHuf9KpXPvnxDXn9iyDTJHek4WHPfmCj3uNCx7iq3U53+Mpfn551NH95kHPEGx20HKc4wPlPfaUL0ukAiLv/sc6BKfwb7xomBbSJbF3+ooNY7j5nPchRr4XIG9gOX+U9IBVtiJ7bIQiTZS/Q+W56H5wXDkbXh0QYwnKNY2H8cIi9pY3sdrPKH49+SEMGJrFhSIQfGhW3RfV5Smpz1GHbOii9PH4remZMHhZvgL8fCQKQtQvdFJN2vgEiq47s4tgcF5jBAV5xkYGc1g4lJjsbQW1qHMxkDmUWx0xmUYjc85sL59dHTGpSXV3o5IxoN7XfiXKPqxzfB22pyRVyrn5G7NYRpUhFVr4qljn6pMZUKT5ROnJ7uJTiJXeZxTKa7GjXSx0186hENP5LmkuM2w20diNDcCuRqFwexFzZzHlNkmrb3KboejmtVsGPaSr+XCAzNSjIewIQek2UUR9uCMV62VKMCFWkOF/5yzF2U4mIXNzyaoaDiipRoWKLlg3eGcrwVauLNBLE2IApxAZ2Ln42fCYK/dkrezZziRkN5R4ZV8do7cybN9jiFjc602++rKZDkKWKTudSPv7zeMYr3wOh1aohjC4HGaumq+o4ukj2sXoXzWArbyAEHLDLaCalV96o+rYawi96W8wBSGFkwaNCM2zzlKT4bGcDIvzqV6zaqDd1+qotem1XdaxpQx9mV7yyiqzoQqy0KkpVGwhTcT8Ywq/UuCJlvvCFKFOgG8UYRn3mYFtTsEIURDsFKjiVWj+g6haHwK6oVvWrX33+aA4EC1WJRaEKWsjtOZ+KNyJs9K85aFVsm/pHr/bqtcJVIVQpKatt5bYKXhBqidqKwQD21artFGYlpWcDKnDhCUlAgniLQAcudEEKNjBWan+w0W1NigjwNax7wyUF+LpWiUSQghWUUATxIiEJVbAcDhw7PSL46lefmq97t3VXVglBsg3elsQWXKlJDeG0mpRCFK7QXyTUwQ8vsuxlbci0HwQhtePbbCh1GK0pcIEOK5jABCJggQysYAlWsFxyNyoEKfjgtlq47WhxS2QtWAG3QfbBfXNggyF0AQtFWMEFLEDlDCAhwHZ7GLuk0AMrWCELYNZCFYrs5TIHuQdR4DL+molcZCSLtgpWwIIVdiAFIUzLrlYoQgo2sAEJWCAOh3ARFcqYuojB4AXGHSUpR8or/RYhAxBIgBjEkAAHQOACSNDCOY/W4w77179xAPWnkVAEKeRNCF24whE2oIAGNCAMDlBABDSghC4Q4XYSe4J/jxDqUIvX172OwxGOgIQncMEIxD6CHOLQ6183+9M+cCre9IsEDUT61WGQQBxadEj06ZF7Jm5BCYCg6HR2DmJS8EISLlDpMIRBDGAAgwMeYIAldKGmthvCFAowgApUAAJngIAEziCBghN84AWvQAp6YGotd8EKcYCAAxoAhjFYHNYK0AAfGv5ZKRSBAP1GuMj+C05ykkcAA0UIxBEGgAGSE9wMBi+4GQAugQoQ4AnswqYWkpCBBDTgCxa3uBkKwaKWHfGqRowWDmYwghHM4KY9NTfBhsCFK6AhAQwYAxnUMAauk4EMB9DAHnSFTSFkYQAAeAADGPAFBsSb4mCAO8UbcAACWOG07NLCEs5wgIqXQQ2AL4MYGiCBI3iBCEMIbheQIIAAuDrukI83GMIAdzCIAQECQEIgVhAABBwgDHGnvOTj/YUGLMDzAliCvHJABSVowOcWB7wayrAGOLCIf+feXS+D4AIRhCAGUI86AXlG9TggIAxbn73s1UCGBSjgCJou2RS8EIEEaP3rXL84GcL+MIYyBN0BFLCC3Qb3hwxkvQx/X34ZKC+A8gbXB10oggDC4H3ue7/r3Q+6xS+vADkEQgMBIAb5h37dh36Ad3Gwlnp2A1VdcASV1nXLN3tpIF0fIlKMdlE9Q1UGBgQmEAIh8ALYlUJvxEujMwV6YAFikHwReIAIsAFX0HAPIwVbEAEVl3xd93c42H3ZBwYZIH43kF5dsAQQ8AXpF4EEiAArcHdOJQVIIGlc94QRqIMHSGn+twIIIICyh34GuHwWN2+qNzBScAUb4AAQuIJlcAiIgCIW9DP8BCtpNTpM9wEhUAOpRT4otTitggNC4AVHoABkoHVZqH5j8HxWYGc2xQf+EgAGKxiIEUgGFyBa7CUFfGAAbleEKzgGYmABdIBePxAFSOAAlriI6lcG/RcIHMB9Rqh8XKgGYZAAX3gDTtaHXyCKgEcIaXgi5nRSDnM3QRADHyACIwAEtHWHuYc77CUEVYABCFCGjAh4YLAAGcAHPaB0UhAIERAGgKeCqSh7DhCNumIDUiCEWacGa0CLY5AARzAFQ2ADUSAHD0CLokiKcnAIHOAAZhiKsgcGD7CJkZgFF1Bx8OgGgXYiFghM8/IDQEACIiACJAAELlVobyRTnZgEEQB0ZYiD6gcGCpAEU6BeViAB2AiPERgGGaAF7DUEXpACD3CD8EgGPJgFRID+akjwjiJphA4wjxwAkKmIj2PwAErwjVQgBxCgiPC4BkRnIn3CPdlzWT9QAyPwizIQBMMoUdZULz+gBUfwADppjmSAABrABXaGA1GwBYkokuUYeCTJB14zBP64ANpIi2GwkVQAf0iAfVFIi2XwADj5h/G4gmSQAD/ZZFqQAgzwliu4BndwiySyhpdFMt+CAzLwiyJAA0GQQGT0Ot8CjlqQAQ+Aj4tYBg0wAVnQkZFDfUQpklrYACXJLl2QBArwBWcpkmOAAEfABU42k8xYk2TwALaYk7kJjxq5ieBYBRIwizU5CANJIrSEUbw0SUCAAh0gAiZQA5UZRHijR7w0BJL+OJSGeYmsqABzUCxiyQc0WJOBt37RKDFT0IQXqYrKV4TQuAVdUAUz+Za/uXxioJeAgAZ82ZfLp5FJYGpdQAdDaJ5tcJTKSXa6J1NbhQM0YAIdEAIucGIrhUut0zNCoAVF4ACnWZOgGQdRYGdSoAVl6aGzR5JB9gNewAENsI3nuXxfAAFX0AWe+ABiAI+5KQb9R4+oiJdZ+JdKoI6eyADMV5NugKAjMlC6x1nfxDs/EJm/SJ24V4xYxYbptgKFaZ6AtwY86AVdpV8gqaXop5pqOZYWEJKBd5hc6ABz4AVaIAcKgKYHGIXph34JIAeIsAINcJ/qJ3s6Sgf6ZgUasAD+nnmYhGAifaA5CcWGH4QDvAcCHzACUHBi4YQ5FlpD+pUBhKqlgJdtG6eZEtCinIqiURAFfKAAUuijsvcAK+AF64mqo4iX8miKopqmtLgG53gFU2CqFbCphSp7a3CoJaKkM0VirYQDHCgCH+ACDplVBaVieGOqfsipB+iTOsYHFlCrq7iIYbABWtAFXSAHCfCrotiNW+AF4kqutmqn/ocGe1qTZ3mOdUAF+xWnW1iUwkoiSspZbSg9RBAEMyACJ/ABM0ChzLWoFho4UkAHcSqKs/ibZMCmPgamcuqXESgGF+CmXbACoKiuEQgGZ8AHW4AEk+ainykGc2CKWKillEb+B15gBXXwAPRnlrWIqBeqVTxDLUEgA8o6nZE0UV+TUBykok1omF+wfUDnlw6QaUEgBYBQnpwqBhhgBUaGBjMbisa5pf8pAVewBXBKreS4o3oae6jJiglAB9MXB7AKrMsXmzU7rBB0s0qDkCbwAR9gAidmQrooQUI0BFg5jlwYoxCQgll7gGSQAlXALlZQAYoYikFXuHGHAVugBYhof5Y4BkdbuLI3BhAwB177AN2Jl6U4tqKoggWoo3vgBSlZcRBrkcuXr0maXVVpO01ZtyIQlRaFVf/EWX57AQ2AkbMHBgmABnGABkMZhWBgAFrgA1cZpoE4BqP3BdL7BWFwABj+kAVasAcQEHQwerSgO4tuOwZsiq5a+XX9eYl/OAYNUIocIIDMSHrTG7EUdwAAoAResAVjiI/6CAZZF5uwKyLEioFwBSv/yrMgYAIzoFNhlWKqMzpWsAG/C4Ho5wAbIAd+cAf8qYgQqHUXwAel+rRoqoWT5gBi4AC7SQY6KgAFkGN1sIwWl35fBwFo8AZnQIZay3UPgASHgAQBsHZrJ71sy3VtxwAOwAABgAR5+q6bKwYSBwEP8MQKkAAKAAECoARasAVnQAahyAAPgAZocAZgoIL/GyIDlVQ+czW81wF3K5XDR2i98zO3BZJF6H0KEAeA0AdeUAdDyZJqAAYVoJb+zduhZWAGZoAGGaABGpABhpzIBXAEPZDHn8eMR8sBdbAHEQcGl+sAR3AIRdBvEPDJEKDFXEgGoAwBETAARQAIK9CjXLcGi2wABsABh5wBh1wAuIWIYbx8ZMAAG3AHfiAHiZh+g2CzSolCTAMFECoCwGdNwndNoxMF2juzgQcGXMsFXtAF+GuXfxcGEbAHH+y8XCcGcKAH5HwFe6AE53wFWPAEO5BbSJB1fPwFG6AHpeIHq5yq0FuSqpYCR5ACKQAHZsCMY2AGb9DP/ZwCS7AF9ViGYGAGd6AHV2DOS3DOe7AEV/AC38oHECDNBwgBdQAIXgAIcbCpajDMcBu0DgX+Mz9AAyIAApMpWN4WV/QSBUqw0ZaomlsQBT7QA30QBzYse3G5Bz7gtNe4uTdpBaobBV3wrap7zWk2mMuYhesXB16QBTrABXUQqkUIvRsACFzAA3CGBVlwCGhwmoKHBn7AB182ZloACEeAin/3BWgQCFtABOe11Ev9rXWmBVeQAG8JjYGAzVxwqkRp0vq6u8G0syEgsORmzLs4RAKjd9a3pnHQBzzwg12gx8xIinSQZh+Jpq1YB9dcZ60FX75CBD7gBRoAuIGnAHXABTpw1fj7u3Pqx3xgm6VFBV5gipgse2SwApWTNVmTWymAil/3BRzgqqbNKhI2aFeZBAiwhUD+t7R9oANC8Mgb4JYlTcwCJFNHk8YnYAL2RC3GBTjhVMwPowWfiM8QQAdU4FiotgcScL5/WqpeIAFlOAYAMAdd4AOZ9QM+YAUZYMLA6qnrmANT0AdHcADel41jIAEenHisFQUriqbqm9whKgTsAgVVUI++jdxbsI7QA1yuIpNRvbkyOgU6kAM80Acc23VjDCIBfEHBdANB8JS3GwR6NTpUZVAMyoY3QARRcAQ/7YwQgAVdoFGSeAErGXStWARRMASIeKPVigR11sCfxQcDfpENwAFdIAT5ZgVzEAByyrlB6jXBdaX2iH9gkNx29lUjmgI/TQbIbQW3Bis7zlUNGN3+W4sF6JXeczDZhh27UORZ37TSynoClIkDTspbjvk40eK3xc2MYWABWOBao6UBaTd5sBYARTAFUpAFFrCFYfAA4WlnZWR2G8DKoHkEXeBYD+MDQtih56gHUfAte5gCvQ14DpACYGRTV8mxvs0AHGAFOmADjoXsvONYPkAFesqFJAmTsL6w0zroAMxH1aVlvdcBLlADaZVZ3bROrDMEVnCK6teNJllCnkgAU0ZlFkAARdBjWSABVM51CYAEfTAEBvZX12OqFmCPWdh/8tKJewC11UoHXfAvKmru2RgGK/Dl5kLhL951dM4BWzAFwRVZP3BrmgN/GqDEXOcAye1U7XX+Bfi93XA7wI5kYnXbAUzAxkpZVK9CYJAuBVWgAQCJfw+QAl7gUhe2A0VQBHIg9P3FAxKTBREgBunHuXLgBVygYdsiWax1jFhQoq29B9JmO6Y6hvmdAHMQBebiZPVYhA3w8P6Ckgt9gAsw17nNYJMSXF7lBRmgreIbB+pYR/6uiDH+IX1gP6vkqDXQ0iJQsCa0RDDdmEYk5b577pXt30o0BI88BVuA1KAO4FZgAVKIiXHgB2B2ZJ7PA9wiBHoQpxcJ4d9Y4lqQk1x471+uPisK8CeqATo2MHv44kUq13qQBVYACGP2ZVbAAxMu93Tv9UmO6nuYAd239x4iCNfzVur+4qhQagLNmocNSlb4drAnQwRYcKZb7QBLsLw5lXP5pe/67l5BEAVacKa63AZxIAeiJl50xo5X0LBZGAE5nVMPg2q6brpLS5qu4mQAsQJMGTUFG6zoIuTGwhtCvKxwULAgGDNxLCLBmLGIkB9BrEwII1HNGAVJpgz58aOhlwxk1hBKFFPmTJo1bd7EmVPnTp49ff4EGlToUKJFjQYVpJLhwhw3mjJ8yhAHEBQfQKDAoTQl0xxPs/7AEWSr065Nn0ZlSGRPhJAjRyaoEyXrjZQ2cgwRMgSvDiE2cEgBxJZgwTFrzkg4fAaCBQoDikT5EYWOgsEFw2TYIgWqFC0pIo7+IZzgiJcfT4d4STFQ4sGES4dYgQia8BoJZiAghnB4QAodkbOAFAlGwZWTSod00cAgzZ2jzZ0/hx5d+nTq1XEKorKUqVOoZLvSBWLig4gZpZuCZUrkfMogNWiI5VqW+/z0VySEqUxyieaFW/UO6WoIG4a4AYcotIigAZHU+AIMMBpYAIwFGHgAACS6+EGKycQQ6TIvFFpowC6Q+IwwBDjogsCFTuMgotVS+DAqhzyTrSAywnDwCwZ0ZACAAnqQIgo+gCMMjAiwmCKHsZALII1CrIMySimnpLJKKA3JTjvuzvqOrBtoOOGDE2gw77z4zgNiBhdcIBOq79BaKgcplLj+j7CRIOAjiqayGkIKIqToM68hiGBPiwoUXHAMMMYYQ4wxyADjgQsznCMBDiUKgwMt+FPpOBJrVMMBDTBk6IcuBBKJNRX706LFRBUd4wsyZv0iAQyAjMIKtoKLIIspUlJJzhQEQONJK49FNllll6XOkD7gjAotsxaaQQQRTACCCC+jdaqjGEYwYQQXgijQOze7u4GKyfCTiKQsouBOLymkmKILKeyVggopIkMQ0QXdUoOMgCXVIgoNEbjUxhWs2LPADJdQANQENNBi1SE6c1GNMlhTqj8vWgTVzoBtZMAAKyLjg7J2v4hgiyQXwkHOIgiI4xBmb8Y5Z51z7kPL7ab+dfMHF0T4wAUo5oNzoSBmMKEDDzwgAQgcttOOWzmVUKCtiSLgQykbpODhCiywEHuPK87m4QcovJBAtX8TTeBCIbSoNOFQU/hVKjmTcKCMGhmgeKx7IQI4DBhXbahVB0L+FzQwTI4iCiyyTtUCK6RQkqEhWEDCD0R2Bj100UdvThBoq0Y3CBKIlgGKIHCYmj6Ha1j9A9tJoCF2oLfUTsME2CXMcv5siCKFAgrIIPkNMjCggMe6sKICrd9uV9IPo6hUYMIcOMKK/srVMGKRHDDA3lK1ILygjREKltUVyGC88S8ysCLylLVW9ILMkP5BCCsMIV0ABThAAibCENrS0u7+lvKDGowgBCJwAhRmMIPczQd2QQBCDELwgQ6A4AMmqEHsfIYuOUFsemCwnEoG1IMCCEABD4AADGEogBREjm3To17A4na97ImEAUjoAeIigzVQOSADFYvdxQgnmzCsQAogWsjcQJbDGoHhAlYo2B7Et5oMeIE/pToOAAs4RjKW0UpYitMIueOtEIRABTJoggpMgDsRZmVptetABz4IhHL5TIG+G0NlrPghukjBCgYIQI6+oCgwTMwLXQgMDv+1hoIgAAlejAISIFCjMTQACZChS7ekcAUxAC9UGUiRcToTBtmUQVSkesoPUMPKHAaHfpHT4gkzAIgv5uArXRCjGYX+OUxiHsVZauTWDYIABRMQjQkyaCYIROACPsJsmS7g4AlQAIIOmOB1MJtax3i3kC4kIQGVUQMYuqiQDFkBAwjAXzoXwAErTGELbdNYLQvigEv+QAtyeAAn+QlKGzBECHvYpERceUSLPYSWlhkVvEoFm8XlUJC3jMIVKFekLsIrKioBZjFFOlKS6kQQVPMjQ4LghKadgAnbzGMHTsDHpwRBBiLwgAhQwAQRdICa2hEhV7bTBTqcMzgYIOTXsoABMaBTY2FAgxe8wAcLgEGfEuEnJpdQUax+MlgFvcEoI1YjI5KmNIk7wqIwlQJYLiQKs4yf+iSiTi9EYQpaBNVleOn+M0GU1K9/JakhxIkuhhQ0CE3g5lVOkEcQSLNNdGGmtVAgAyecwAPj4s7Uggq0pkihDgkIpEQY0MW6CCELFzCl+sZAzymwLZBxVagnuRAZOYC2XZ4EZVlSgtAaleEy9jLOQzIWKoRAkS4Oha0t3yVWqxLGQ70sVzABO13qFvCLqOOODTrCBKuA4ASJbWwHyjO1pY3gg0xwQhOsVZ4upXQp5TSqjeZnBQJlKAsZkKRv0VBPP1gANE79VxnilqIoABSdA1XhU+a0ycoYsWIhUiJX1cAa4zokNldlUEclp4DmGkQDdUXpD6o7YhKTjlTYDRFdguCCDoZXBIvlpgzI1RH+F3igaBGMwR7LNEJpwRdUYKAAiOVkhQzYTX2Z8kJr6wQw6gkYCSeJwlYF6lUvcWQPfWulg6UQsxscJ31PZd98ZMkBR1Hvx7ccgkY56SGJRoUKJYZznG+WFMKi6wfhaXE3Y8Bd283AjtUKwQha5wQShICa6mkvfXbnWdsShgwTIGSG+IBfxjkARVLgQ9uSqzGSxGEKQSJRGRpM5e88jMFY7eIXLTxcBxR3KTOScC3VmYUnarTDE041fYjQBzn32tdUQiMJu/ODGcC4m5RV7wlCkDsM8jQEJHCdExwog2ApcIR9Mif+rLgFeP0FCxko0fhQNFXp5bOWY7AkDxWgPY3+ca8K5ulWFIioUCNiSCk5OJWEG8BWKCrpY2W+6nyHMIXJgaoBpG0fXfr6a4Y3XDptVTR3bCqCxoogais177KDsLRmhmAGy9Rg1MCS6DT+LMoCKKIFuL0iIrsoP5YumBaqamaFOtkLPqDbAwiy8zAgQQtnVTAdmqrQMFAMlCtJwUMnvIIHP2XVm56IyfKCBQh0uJNI1UyX3uxwrne9KH249+k6goIOdvM9UmiCeUVAJiDI4HYbh0KhWyCWqZG85AuRAsTWLIF3LcQHXrjAcCXyAE1h2gKSbBwZLNkHINVNJGRIgRaEMK0+Taa38/x5cL9M3H29Wrgh+wKTR8KAIAv+YZQRuHUDIL0Vu0iB116Hfex5IoguCDVOTalB0/I4ro40IUwjAMIyyV40KUCBBiMYwQte17HYBTVOX8Oa1cWggL7fwAdWuMCsNFYZwj8yercuyCIbxMgGHOAIXTBYEhBmJzGMygddyhDfKlMGzMulW/mu0b69QCCnf6xviQKDLxDAASQfKxgQjcKfMKiAgpkPKVg42YPACJSJY/ISmDGPHwATbjKB8kiJm9qjw2oa8rgmqKG7jngB50Oa7ZiTdesQCeCDHmgKIagCDKgoUcMqNNACLaAqHPKtMBADB/jB6ROAI3iiKUgClRkMMhgVhTCNKOCb3mIATRkLWUq6VAn+M4N6iAYAlUYBwlkhAxgKgB/pEyyIgEtxHAion7O6gZCSwDaEQLAbpwLZE7fjJhQAAvZAAaLxpqUhmhOAAiiQAQeKAfaAghgoARiQnTTKAeJBqA67EQXQA4l6DQOYFRvcHg7wvgq4tTE4g+RBgwvQAA5gngJggSgQgimYjMEADZibvFLxAhIRCfqLvC/ypxXQQqxyolXxN4hApzVAg+TJgA0wgOTBgCLgAbzIAtQTiTGAgD3wqIV4PTeURq8LNmjJgRXTow+Qga8Igmb6gBhYJj5DAShgqQ8ggRroiCCgARIYARiAN7Dqjs66AmWcKwWggymwix+oAgIAgIEoA0r+eipN6QI+KLcieYM6qAMlSIKFXAIlYIFjJB7LKxyjW6ARkbAyYAAY6RhZWoHpabUUmQ8La4DK+AIzkIM6SAI6UAKVNAIjYAEdGIIoyIKZmysIqIMueAoqeMBp5MmG6xktiZk7Ew8QACH2wDMRkDFmGg/0QoE2ah2xKMRA84EKTMTz2ANN7BAHuEmH0QIDAICmmj8xwEToocmRcAA56AOXiZzIKZi6WLCQYKIrwpzC4oIjuEX1cYA4ODG6QB8JazVA8bwWIQjQ+AI02AK1TLIpUEyY/AEfAITDE6g6oAIV6QPp6snLlDPsiEMlAYIR8CDe64ga6CkRdAKKOwEZYAL+8QCh11mmQisBcrG7swgrLLiALXyAOXgiuigeA9iAoaOk9dGCgSxIs0RLIiCCIaCCH0hOQiEQeUuo0AoDCqiCVcmKj2GAWPwhLYC/hwA44moNV+zI0BqDBTBMLviT/9ALItCuKNiCCxjJdtFKLiioH9hJzLTPEjOE2ktBuqiW9YKPpfEgE3CCw+pDJrAsQdu4jujPQTSXERqQKtAAq1LFvPy5cHoCOriDNQjLsbSCw1NFSbECHVhEs1DDG4gChAoJnouAPQAQC7SCCF3GuMmS/sA/XASUqDiQjhxMRSm8/uiUs0oJlhjJCUUC+Qwry7zPJKUu04lHZcKma7nDAln+MdtxgQGlwxezFqMBFiAYmhFogh8AEPVIIKb4gRednjGAOZUQCy3wAj2QgMEQNbHMwcCwurOsGASCFiGRgNAazJKYy3DigwvYRAWog6xzn/fcJ1cDT64igyjMgqksFa8xUS3IgCEdiUZZgZO4gcpU0k4dMc5aiPCQLHJRpvDwoBj4QxaruGkik9IorxuDzaTRjgjLDzDYgE2BHSGgAi5wU0ssAzmVgioot8E8yy5AtBGlGkyrgNAijAcoAi/QLrzjLU6CgCXQE/BUuo9sxShCLtGipygAK5WAN7rgAg14z507OE1FUk9l15H6yViaCvFAythZKXn9OJbKsw0Mghb+5VIPQNBYHVPTQJ+hm6sz4IOss69e7RA06AItAISCJIizNM9FRKAb0K6CUlZTQtM4oC9x1YIlqLpltMfrokJE9U7j4si7jJVvnc/MsYum8DIEmL8GsABak4J2xVm/0swuuwEiwIFq+SB0tNgf8MDVxFcN/LgLZJrLcp3B4rEMQQIFSBQIUILkxAG94II5gCeFAtYsgNgxuM0UWQ+U6J8B8YEqKLIFKcx60i4f6II4CCiR+AI8Sbha1BrfQgjEsTBHIQgymCcvCKK8uIvB7Qp6mYMD6C0yUAA+oIJozNnHJSZDVZqbuhb48BaiscP2oDjvkoEoJZQV89ekFaHTWSP+KZiDLdqeOTArG+gBKjiCBGC3CSu8IWmLiJ2DPpgCfZmXeekTKvgTK+AAk2WQCtADLhAC09MCNLjO4KiAPFkKzgjPF/kVGclC8QSDFQgEL9CXPyEC36UCfaGCKSiCu7QRCLjddYXc9CWgPjBUGhsPcBTX8HhfsZiBEeggFIAPlOBDD2iBO1QK3UGxGzBC1A0YS7uc/pmCpZKwRhlLQ2FWV5IDPtiCHPyDHKwCLbACwM3g4EUnsI0DLlDMPtgDM1ik4NiArlmgvsw/ReXW6CWIBkADPciCLLCCGrbhLbCCHkgyOkCAkCGDI/gc9RViMspPqZBfEagBywXaEUBHPpT+qQEV1x9wgidlLzUaoVHa0wUJAzPYA8mLgj5IggpwAHZDU0zUweFMJzS4iIzACDlAgiJAgifogxQQ3lPaAi7ggkA4grGypZ9bireqQunV23/j0zGoiDhwYyRwYzjOCCPggisQPEhBgyAe4koeoD5AoPYQjxGAArC4s6H5gNdU0NF0AmBpjzwsmjvsEhREKRNNRqUbCQWIAy/QAi74mAcIPe0p4+A0lDNdAzOQAAmAgGGWgAqogAiIAAJAAiuQA4RBJzCQADnQAz+ggw0g333igD4gVbrgSKXjGM+7MMIQAzYQZmE+5mBWAAnYDSvgg4SSiFkZBPS15HnOmWD7WWv+2cOsyL3x4EAc8MAPaIIg2BcnkAHL0te6s2It8R8LIF+/CYMNqAMr8IM4OAO1gk8zJsgz7aQGcJBGdZAFaAAECIAUAONzssHBbIBDRgMOy48xMBx7c8Wky78UMN6zGDO+va0FcAAwcAAGeBCOdgAAoACJrugFWQ56RmrRMYSTUqYcQ0qxUNAwwRZgiQFr6QAUCGgagKYOmKamzYGKdT7ZdCuWQACFmggjkoMVsAAxuDWBsbRH6uXGgZVA8ptHCYMAQIJA2JD/ErWNSQDEyJqQaZRJgQqOHC4xcCJxeqtwLhJGAQ3HZpRGPWEvOAP8GMwveAObSerN1pkDUqZmIg/+U66xoiEX7XK7xdKpNQmTbkrie+MxnylTDehhkVgDRfnrqovdIhnLHQQwdMoPSekDjbLE7WOknWZWwiCJJNBPzYErG+W/bulWAHsbMvgCAwCELUADma2MQqBkzvbuZTkpPBNQYMk9rmaCH8jHammxF+Ogbvq4UErEhPan12UUAFwkv5nuwoue/Ko5uWWAONCCLTCDOvYbAWQcRpGAJCACEIHZz8OqJaRexsawB0ADPrCCOLBUNcjs7+bwZREsGugpE+hk9+2mUs7Hyuqg9masGIhS0pUW+viBKUAC2DXrkalv6olCWs6C+5DuHPrvWi4yqFtGFEKSYZul8cnb7Vj+NXPDMFvN4DiwFIng7g6ncmTpgxmwnXH8wyYwgZzCX/T2JVG1CtsZDxRoE1/qGFBVo1EKgEv5x3dunA4Zy5lEvFhckAcAcEGIg9nGMMKgWVqrGge3jEwdZFsU8sHbACvogjqAAEdZAzbo7iqX9CgRhKomyiZIL29czQu0KbWznRFAAT8bizGNRzhxCAiICIIASDhvl8oQSy/awQXpcdHyOaIi4KvqpAzgAh9Ic1PhRUzJRYtt4dQKsAUhA/rxAiwAiX+EiUl3dinBAxhDARTwxhEAR90JTRdAPotzgffGLrFOJuY2ABdZdZobDDklS3Y5bir6oYbNNPA7t07rg/f+g298Y+yD0FTTqN5Z/5fRsuFxX4M00OxnJ3jq+AMVaLETsBZz9F8xU8cWIIFuT+K5eG2qsbYf6AMkeIDcpiL1kVMhOTxZPzdJQb8q2IDlxbAyEA7cNC6+pOPKaKKEaB8Lq/McUicsahXlaPaC5/noMIRo7yCimd+xOI+NA4Ia+EOoPp1wt/jzWYKN7/NUQZEgiCTRqyUd0cuGTQGUvyr645qjo/jOMNlXEicpEjx9Unn6mQIt0KQN7/m3f46Dz8bxKIHgq7uysKONEwv4QKYU5BK0oPoKeICoF2dN0cGQj/oxGLAD0XgypqIyQICOKhVWkWn1AYPISwnNovlDbzf++pmXK9gAQoh0uCd9oUCEPAiTByKBj5uLslCSsGAPvk8aNQfVWPKBPtCAuO3zQIK5KACECbCqQ0e3SckotoA6SCF5lOVLkBmMjyTVcFolzk/7LIjJf/qD0sf+okAEnhqBEpgBqeEy17fA5XMTsU5os4glf0ICBtC+eK/tXxVIBIH3c0s3g4HQBcBvq7eRdLIAPniZNQKIG1K0pAij5mAZBxq6/MBxw+EPLSscjDlo8SJGNWXAZMgyZEiXQ4gSkSxp8iTKlCpXsmzp8iXMmDJn0qxp8ybOnDp3GkLkwgUNID9uEM1h9GgOokOJ3jjalGnSpEynSp1640cXJRUWVMz+ePELGTdjyDhA0yUKHwsGvbIdgyCOFyE+qMg5IMZr14NkGGjQIqUq04gcKJZRM6bBCi9LiQrxMjEvW4xhMlgRMkSQoZ2aN3Pu7Pkz6NCiQ0MBEgSHw6ZRjRZtbZSI06hQVT+tKjvHECFYNDAYAxkjmS9m4KwB44CDly5bIvyObPFtFyk2pFyJ0KCwRq9gHyDpI8Rq0oEFsZcRkxhw48fOMY75ssGKlCGZR9Ovb/8+/vz6bQoK0tAhEarF5lRRBNYmW22tPVXgEF4kYZ1v2WFUxgJoFEJWWV5MkYUFzTk3RgJxMGTZFkcgEIaHB40BxgZ7SMeUQ0k1xkEYhRWGmBf+Q6zWoHrrWTSGAxlUIUUX+xl5JJJJKrnkSgwthpSAA7ImFYK3KQiYajpMEQgGCaCI3UVkNJCAHIdA8MADyHmxhQQG+eYbmGUU9uaKDCDhpBBU6CGAA2CyBwZ3XfiwGFSNpdCnRmUgsAIXU+aQHgJ3qWiYihVZ6hsDBmjRhSBMevopqKGKKpMgUlBlVYGsoVrllQmqKiARXCRhAQJdyZkoGAdkwMcWFTAAAHIbDnAiGGA00ECxKxb7BRhfOAsGAEhoMRQRQ1iBBARcrXGRnA0gkMGmi6WWFEgrHFBsGN6uMIUQsg0xxQoBNPBFe84yWyy+yzoAgKZ9jPovwAELvF/+HwGeCt6rrbq68IIFwjZFiQo4AAacvgEKwRxraiCAAClMYS0BCigAwchiQCCGAiabTAYELUMgABJSLAXSFRo8QHFeZTQgxgQZy0xUarV1kULJKXc8BWDvriBAyhKgrHLRKEv8cgpazDcw1llrvbVMhlChIKphh21bgrPddlSDWHAgAQPGObAXAxKkgMUUUxSRQgpF+CCEFSkUoAEHaGgwOOCEA84B4hrkHQRRNkxXRREaQIBAA2SMhYACGMzBRQ+qPkmUFEUUsELhGhQxBKFEECE66aQbbvgKrmtQQBGdcn077rlnbYgghIr9+8HgNUy2UiAlccQFEACApgIVxHH+RRdDEMEDCzDs8MMPQ+yABRZXXLEH+Fjs8f34eygxvhI7XO8QDjZQIUUVS3BQAZoAJKBAAXM88bFUDfn+Aw+U4D09dM8jQAOaEHTwhCd4r3veu4ISuJeF7lHwCVbTHQYzqEEmfQ14HlyQlQAjQqugrgt7uJsGDMCBFMihClqggg5yUK34YO8HUqibFaJwlihIoYdRiMIPfshDInRBLlaxYRWUgIQUEO4IRsgCEXQAm6vgYCmAkUIUkpNFdgnBBgf8AW7qJkYxdmGMU4hC3ajAhattsI1ufCNoDPHBho0teKzCElPcN5A9LGEJEbRC3XIQQxkGqH/VQl0NbxAg1BH+4QfVIiTqjmjDLnThCUoQYBV6oLoc2KAqQauKDaSXPSHEByLYu8oNQilKGdrQhtLroQ2FQATbwbGWtrxlTfrgO+GBDWysMlvDgtZJ7PUwOjekwkcc9yjZ2GBcN0Bk2XIARh3hhpPObMoP3kckSr6vXV78Ih2f8k1FYo8IEGnfUGrYvypC5CrYs4EQcCnPedITJV4jFJVmY8deIoiOplwN9rQ5hUPChgo/yJM0n6QqHCDoB6EEowxxA0ax2cCGUehBD4fwFINZCZgbRZ1Be0jDGvogKv8Dnb/qqdKV1rIPphIb2YgXU33S0ZHxeZ9ND5rR+ASolSGVgkFVJzODEeX+lTYlghRUB9KhePFV5USmzGQ2BINOlFxWpE1TZhgdSp7FL1xV51Wrkk02srSsZr2dIfpwpV/6Up/5ZNgzLaoFHr6vClX4oRQwGgUf/FALc/WrX4Qohe9gE4tYPIsX4DNXHkqnk6iaoRS8EIW5GlZ6C1pMJ0Vp0B5YgXsQpIMAr1CFPUBhU+97plJqQwVanrW1rh2YIDr41ny+Fa69hMpBLUkH0IJWgHy8pBKWAMFL/ja4S+DjEuhwhR4MRQhVsGQSlLDbJOz2kka4qxAgOhUi+IAFl0zCcf2ohCeUlEBDeQ2RtJDEJCBBdhrIAOFSgAQ/+vV9H5GmUor02v3yd1T+gjgQCF1TtlPdMUFTKAAGJmCBBV9gAw6uwAUycIEJU7jCG6jAGSqwAQsQ4Am5kQILMECBCyzYAhmwwIgzMAENPKGICftBEQgwAQpouAIQJgABdlBIq4SyC15QYgouEIEIiOwBDjiyAhJwJghoOG8uQuYPfODFPpC1v1a+8n7SGuABD4/LI5wKSAYQAMqJoQHpmpcDGOCAYzVgzWtu85HxFYYEBCAJpuoCEgKQADbzWc0IiMARuEBNpgghCkcIQADifOQHJAAARqCCqgLkvilgYQ4a2MDkFhAGe7UnDOly1l4ewOQUJAELQP2IFFiL5VWzuj6G4Cg/tyzgmVKFbxP+aMAYykCnN9Fr13RCEZ3AoIAkfGQKSEiAGL6k6zF4ujwIuEAWujBOeBo6ADjjtQMEkARkNu4qRMLCESwwuWJZjj1yuhQYyAIBCxwBC1ZAJpVbLe95h8agt60jHvsZ4CFooQIU2TWlJJQRS/2oAQooQhSEgGcFLLtib9qIAqSlo4dcxQuHjhCdyJAAOsQnMERKguQWgK83ZeRWlWLWF+KmgSRsgQpVpjfMY26TDs6ay7btaFJ+4IUKUMxPhvEQ0DcCgSVEIQhekAMCbmUjG6nIARVQQvQIbfGbsWfOdLA3Y7pwheQlqytfsAh24ORzy33BARDQABYCIfO1s50msZ3+o74FzEuBaGED5f45ezDy9YvkeixgGPpe8SwGMfgcOAk4wru9OB1jP+A3uU6AEqbg8SoQzQH0wotvUISiyOxFAnVoO+hD3xJdbhmPN4+mUvoNhra0ZyxgCc6uy4AiMPxqCUFQOBIGX/gwLaACdIieF4WghSNQZEIguvp34MmFIyiADG4aOL4cEAZ8MR04FhI99rNPEi3jHMAhDCEJ+cBzvNCrASJnQMoZgH7aewsBCHDAAwLAgiBMVg4J2L3eHYD4xvKN+HhxAB1Uyw34gBTwAQEcwJdkRHCYXQVkwAacQZskIEawASGMhPZdIOi9Xc3NlsLQVlHw2wZQDF6YgRn+mNgZnIGDpaCDOeAGXAAFGIASTFLu4R9GgEEF1EHCSZOhFd+ENMDvpROeCQBXNEd7PEAGxIEc9JEcIAEarFn1qQEZDMIhYCAVtp1a/RL4ZeGASYEVWMDqeUUYwMEczEESgNcS1MFuzUEdjCEZzkERIBz2dEESJJ2PqEEYHAd8hNLw8SDfAWApcWEGHICuFZ5xcEAL+RUgdAEgFAEaKECN5JqcsEEhVCElrt3XFFj3LcxbNcj4ZQRY3EEgbAEXZMEhWMEWnOIWJNaabIEVJId0CN8M1mF7DB0VWEYXmEhz6MzVHZQcQgAYbMvANUAGXIErxmFk1UEGqF8YlJkY+EH+JT4jzHkNMHFgJoqQtagFW0CAHQQCF3BBH3hBIAiCFwhCIPTBIYhjH9TNRzSFFxwb/gHjjzyABsCHD0zBEfTGwPkh6hDE27BFGEAAHYhidvmPDbWjAdiYickBNC7kvPWBbAWYFnqgu2iBF3qIGAyCHigXaJ2hcl0BHYAXHWCBKDmODXTBHCRdivjc3xUBYuFiyW2ck2gBBywA/ilEKg5BJ/UPSFTBfM3XHUwhQwYllkkjRJbeBoIQv6mFRZoBB8CXBqABBxSOU3JAASBBMmHTFMzB/bHFE0JhAmhAFXSBFRxBAkRIH14Bu6DFBuydJ0IAXPQAToISVvSBFgiCIAD+wssJpV62FlF2XzW61Q9swQWsXuExmxhgDvwxmsQkGZoIQAHEh1SUZO5JysDxnRqswQJAQBH0QRYcAa79RhnApA3tQQWwZQ0qQB30waC0RpRFgQsBwhbg5V7OZn8ZwkQdDJZw4GwQAUU6QGS0R7Pki5yNAQMkQAEwBFR0QRFcR84Uxhqwwd0hxBc8gAHwQSA8huPBZHYpAQQAXRhIAB/IzHmhjhTsQBEgQRwgwRzoAVDSpnu21n+hnty5VcMkpQRWZkVYDsbl51dagUYxxRTYn5/MyRq8AWaSARlkx4pAQJnEwfQpoGhGwRI0XsmVBwVIVkO4kw0VwQBUgImtgDP+vqeImlVfKkzNCQ9ueAE2CtxvDhwCFECOTMXCDaicQEAhpMEDJCgwrsFebEAhDAKuveTvDUEUJEHzGR+QZMAW8ADFpV6eIZsY2IEFjiiVqpQG0pG+0VbSUKQIYt6PBJzSGWeMNo7g6Rq3lAEZHEIdQEBwhAlYyAEcbN6EbFxUGSlodksGCMIOUBxE4FkC/KIbTGmVDuo86RKt2ZxbJSVhkp+v9RrFhEEAHOdiYMVy+lx5QAB7pkCO5ppFBIcZtEFX5AyQQJ1l0MGRegVHBAKTToVklqUkEiqs0tMVdhmBwRUXhiDQMdsyFsuxpEu6HFmkAtHMaIGATgjKXAEX0MH+BvQGmKzBF5QBG+RiQvyeZVyBAjTAhBwEGFhAFnQRVOQAFyDBAaTBHcSqueKSlrVVPxFPUXEpXvydGUiABUhACZbYgl0YAaRAIl0Fnj2ApZoM3bQjsmUEzlSoPlIahCAERkiAHkgHleQAFSBBBAyCoJ6rxbbRleZmB4KZuw4cGbSBHISsyM5ByCIBEpxnEbDAQaUT7iEKt4hBBGCBDmgdBwRp3hnsDw5BFtwaPPqJA8hBEUXJFBgBEoToxR5tG83q6WmiznUiezzANmZBFpyi1J7iFFgBYPGQZWCTcvpmRqBMFrCLg0TAF4IdV+piF9wA32QAc7KoGjzAG5zFahD+gQ2QItLebRthHX22SlVwodPynTaGYjd2YxdwgRp1QR9wFRZRlc7lXoJKRgRcgQ5YBhakAAM87np0C9Q5lGOUZV7AIxicAR241BTBk6rhLeriziWGE7tOxQ/wQQiiKgT85Cl6ASB4Ae7ibipqQe5uimXgnr8OnAKIpC3SAQRcno8oSh10XOgoQNnWoELsgV/ER6qlrvXqTsbKJ1YRRRQAwt/+CBm8QcnWARKQr8guQcnOwRKcrN6ABBL041eMAQSgZShBDAckwBfAY2SE5g/awIZEAE16xUY8wArUgQuNY15erwIHjEPOnXxiT79F5498wRmYgYY5GAo+2IU1WIb+QVgB7EBkFcGmQob8oiUnEYEXXIEF0CQNIoRohtEKIADmHsS2yMk/GmId+EF7LjAPD0y6HiptSEX3lubjQga90B6aMMADqN/NHFmc0R4DDIAR+Nj7ksGcdCqmJlMOTEE7KsCzrsfxIecWP4EFmCYNa8SKiBoHFELF9rAbj0pffp9b+a3X7p7FgAVY+BqdKLERTAEXyIG/cuqPSABaOlQY8UEycmqKhLFG6YAObMEKPICzWEQNnxuQEMIOv7EmjwpRUaNrWMsF8CANzvCXdioZPIARdCMSKAAkmlwZMGwUrMZAyAEE4BoNggj0QNQQcMEVZADsXQQwFoYUbjIx/4v+BmohbaCwBVxHnNhxRbDlb7CMEqgyw1WEnFwzIU9BTjZFFFjBYCgyGELeFFjREGxBEWyAJEOGc7pBJhezOzOJoRrlgRDBFkwAYSjsNYcdxk0KyfnGKRvBKZ7kXeRzeQxvI7UGSMhBm4gBwTW0xilBLQqIFGSBHCyr5YEdtBLCO2/0p9wTMkdFg0wAAlwbnVhy69ELSjvLSSOxEXhBuI70rqWLAGABUTEFFVTBCpCBpiVLs7SeAwTAoz0JUllBEhjAmYwcG8ABRy81k5RoFuKGFRRAok3MipCFGEhfGDifp/mqcZCFVSemZuJuEQRAjrqZGNzPADyBOVmF8NXBsj7+wK9m9R3CnwAUwUEXRSgNBB2kAKYZWRi8QTsztWDnR4nKGm70QAoQAAZjmIfaK4YxGINtGIkxWAa8oBL0kBEcZGPbawHwwBBUEZgVIBJMmAU0mAVomAXgKwuYyikJyBnxERNtQJkMNm0fiRwhs7exwHmibxIkoRwkQRGsYRH8dhm2YXEnARkWAXDrTcLtgBEEdxn2dhki3Gf7D1MMgRRggXIjAXAnIXerbxF4dk07xftowRUkQR0Edm2vN30UTPAkiA9AQQ71wFzdlV9N1n0DUg9MQQ9kAWdZgRVMLWdNSzpFgXxXAYD7FYAjUhW1dg5g0WR1M2Ddt3r9BZ/OBjH+8W4CszeHf4YhpC2tuu77IBOqtVJU2VC1IJXqEMEU3NCKn5bHJRVULe5QsFNrqwYRUAFOGZQ2xYdGaWwOoEaepFSHFzl9OPWpeFFrK7mNo0aNN4Ti2YAPDIrjoA5uoIpDNJMQsBMqpZY/UVGGOk5V/U5F6ZeRn7loFLZuCthV/U46ORRqmZ5YeZGTY9N8gkdY/c4QxBua93kc0Vw/fdN/AsYujXmXM1Vt0ZQnbS/cCUgdrZafR7pn8M4ulU1TtUbQpJLYLMXnrMp7B/HcybnYQLqklzpn6G00nZe6ehD7ZKnceVLceaCCXHpM/cDpmjqu38Tqns2de3pHwRQvxUb+qij62GipbFBBrie7TqTVlDh6J59NwgDPuhZFVSWMsBfIq4PQw+a4snc7TkjjaryKo4D6a2B7TK0GuSc6ugu7qjT7gUiFy3m7vNfE2zW7vb87lh4lukcJ6snGjnmyJjYFqc87wceEIHDUvY87lKz7u4e7lcDabUB8EPP6vc9SwV98TJDew7tGwod7ujP8w/46yFO8993ArWM8yqOEew+Yvf9lwCe8Ji68HIO8IhF5yt98SnCfX07jy0fTHdG8RMY8jnfBhuN8yuu8oyi8x0O7q4z8yDs6tMu8IhG90Vd9SsTWUzc91Gup95H8un996R37yVu90d82wxyqrJ8oFhb+5dq/1cCTPdxvn8RHpNB/dL8H/Mv/QNHH/c03cKgT+xyZqOkFuz5Rgc3zfdyn1UuxVW3RPePzvMtDLJ8jPuKnlcSfPSbiveOffWsQ0d5T/s1/OOHf1uB7eohLO9jEO+ivfiKg+qdrrDz/jm6a3uGzfuXDeKKzbuCbaOBD7OfbPs7f06rPp903fs9HBVKNPfDDfWxV+u4/f+C//fKvfqnQlO6HE+Dn/u8Y/vRPv206cOlbP+obpcV3//RfaaNj/+x/kPKbP+L7vTyHf/h7EBHUvvuzflo5//j3fqt4/v2bP0AY6nODYEGDBHMgPJjwBkOHCg8WpGIoUUWLFzFm1Lj+kWNHjx9BhhQ5kmRJkydRplS5kmVLly9hnhTUECLDiBBv5jSYo09Mnz+BBhU6lGhRo0eR/hyY8yFNnTeb9qGYlGpVq1exZtW6larAHzad6mw6duFErmfRplW7lm3blYao/MDJ9ClTs27x5tW7l29flwIjkq27kCAVQX4RJ1a8mDFawGGb0kw4WXLlwlMbZ9a8mXNnknBx2gQbuqDDu55Rp1a92i/cr5UpT3Y4G2GOiZhZ59a9mzdSQXFjw67pdDKVnr2RJ1e+HCXop4IZGmc+nXr16oCDU7bs1LB179/Br3Y++GD38OfRp0csqAt504fVx5c/H+3v18RDSzlOn3/+f/9FfyOPiP3+K9DAA1V6TCfzEGzQwQc7Gq8pBiGs0EIH2SMiIiIEwe3CD0HkTxAp5EJIuhBRTFG+AAkaUMUXYQwPMApjrNHG5OCC78YdedTNwx6BDFLIIYks0sgjkUxSySWZbNLJJ6GMUsopqazSyiuxzFLLLbns0ssvwQxTzDHJLNPMM9FMU8012WzTzTfhjFPOOems08478cxTzz357NPPPwENVNBBCS3U0EMRTVTRRRlt1NFHIY1U0kkprdTSSzHNVNNNOe3U009BDVXUUUkt1dRTUU1V1VVZbdXVV2GNVdZZaa3V1ltxzVXXXXnt1ddfgQ1W2GGJLdbYY5GgTVbZZZlt1tlnoY1W2mmprdbaa7HNVtttue3W22/BDVfccckt19xz0U1X3XXZbdfdd+GNV9556a3X3nvxzVffffnt199/AQ5Y4IEJLtjggxFOWOGFGW7Y4YchjljiiSmu2OKLMc5Y44057tjjj0EOWeSRSS7Z5JNRTlnllVlu2eWXYY5Z5plprtnmm3HOWeedee7Z55+BDlrooYku2tOAAAA7</t>
  </si>
  <si>
    <t>R0lGODlh9AH0AfcAABkpNhcgO1BYOl9fPmJqOhctXSc7SSY7XQkgaxUhbAssdRYtdhI2cSQpazU/cDtLQjlLZkJVRUZNX0FWW1NjQFFlXWh2X05ZYnZ8Z2l4c7UsBKI2BLY3BMssCaFDBLZDBLheBLxiPMlDCOBBGshgBshuC9ZuENl6EsRmPOVwIfJ7ONxqRHWCR3aEar+1PMyWDNmGEOiFH+2WGt2mD9yyDPKVKfWkKvq0MuvcE/TRFfveFOzkENDEMtjOOdvaOPnCJ/jcK/vPMfzDOercMOvjMezvNY6TTq6nR7GzVIGQaYaIe724Z7G0ePmGQPylSPy0U9iAYNyebMXDUPzCVfPlT+PkU9fQadrabMPCcMfNccvZcOfQbuDub/LmbOLkcA0pjw4vkB0vkBA3lAovrQs3rjJJkzpVkj9glCxCsDROuEdLhF54sAUwylRuyGR80IKUgpGigZSylLy1hJezt9iqjLnPp8vOi+DejPvwkOnNtNT2tPvxqYSq1KOx4bzCx+bf0/nv3Pz50dLc59zh9Obq9Pz+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H5BAQKAAAALAAAAAD0AfQBAAj+AAsJHEiwoMGDCBMqXMiwocOHECNKnEixosWLGDNq3Mixo8ePIEOKHEmypMmTKFOqXMmypcuXMGPKnEmzps2bOHPq3Mmzp8+fQIMKHUq0qNGjSJMqXcq0qdOnUKNKnUq1qtWrWLNq3cq1q9evYMOKHUu2rNmzaNOqXcu2rdu3cOPKnUu3rt27ePPq3cu3r9+/gAMLHky4sOHDiBMrXsy4sePHkCNLnky5suXLmDNr3sy5s+fPoEOLHk26tOnTqFOrXs26tevXsGPLnk27tu3buHPr3s27t+/fwIMLH068uPHjyJMrX868ufPn0KNLn069uvXr2LNr3869u/fv4MP+ix9Pvrz58+jTq1/Pvr379/Djy59Pv779+/jz69/Pv7///wAGKOCABBZo4IEIJqjgggw26OCDEEYo4YQUVmjhhRhmqOGGHHbo4YcghijiiCSWaOKJKKao4oostujiizDGKOOMNNZo44045qjjjjz26OOPQAYp5JBEFolcIEjugUcXTFLh5JNQRukkk13ggQeSgVCVpJVNSunlk1RauQeSRla0JR5PAgFEETq06eabcMJZBBBTiknmUoHsoSSaXVChAxBxBioonXXiMWaWZSqEpZVOCuroo4ESauidRCHJqJ+QZvoonVUemqhBelIBqKaklgqElYgCFQiao5bq6qP+VFSZapF5ivrqra5ScSVPe3TRKq7AOnrqmEHm2aeawSa7KRCy2qRko8pGG6iThvKYZJ/SZjtorLvG9Cym2obbJp2Tzjrjqr6Kqy6cdBLb0qrgrrturO7KuOqv8uarAxV7rASvvgDv2y+Me9ga8MGnnhRIugcHPOyKtcbbMMDtmtvRvxMjHKvFIVoqccYB6zrwxb1+DHK+5FIKIsYng8zvxWi2DHIRXdTrYcEyq7uDDjv3LGi3GC2c88E+u9kFxxfirKnPTPPs9M4nFx0n1HG+bNGqrkKtdZtbc/30102HDfbYTTs9tqPVZhgItI9SLbbUb5Mtd9xie0232TrQjDT+Q0rbPbfZXW9N9a13lw34m3W7WYSueztYML5+D750zpKbSkXjB9UKcOFnv1p55ZtejjmCLCMuKOh4D8756n/jfbbqrgs8ukB5Qu4m6l4frjvRpvdeNOr8zk7gwrZnPbS8Vi+E9fHMx14E0AwyDCzuzWdKfZuXK9R39dyPO3KCxDsq9dTdo5z9QduXz/2pwu/Xq/Hjqx+s23GmPZDm1svvMvQDpg/n9foD2NEI4r8AVs9+AiqgAat3PgX2boEuax999gBBAwJheRWU3wUBdK8MBnBNHtRf8vaDvxCa8IQ5q1l/HIjCFrpwXSrUDwtfSMMaKut89wmEDXfIQ21RAT/+QuuhEId4K/7BB4NETKISBaWr+uCheEuMIhFH+J4ZSvGKOxzgEU2GxS72sAvxkZ4Xx9jD570nEFCUFutiF8C7sRF+f4vb9OJIR9YlLlM4VA8S87dGXNkxd36MXOvUKDdC/rF68QvU99KzhzQ+0HimkyPhIlnH3Z2ObDvIJOcs+T9B9myTk2Ta6jSJya+Z8napK+W+JLidtbUNkJCE5SsrCbvJ0Y+WlxRc7Oh3x1y+EZeJRCXubkk+0MXPjVAzInmeCDLDKQuA2uraLwnZMmkWUpaozOYboQknKpLHlZdkHihj6ctAcVNf58yfOj9HqnOmUwfKDE/MyEfGcELqnaX+wme4UGfNoXlTPFyUIjT5Gcp8QlCf8qLZeZhZzww6E53TJGfIFhkegzU0dwj13Cwjik1xZfSVH0VbedBowJBCUp/EVGMmd6lNYXK0kx2F40MpqVGo/fCbFzXnJDFqUHrS1J6+7KdLkxW4obZzm9lkpXT2KM7OQfSTL23pNYH6P03C7XD4XClMdTc4yJGybL0Mpil/VzSbeYek5btqMyE1qpmKVaapjKk21cqmU7JVp84kKEuPGbk8eoeC3Lvq9d56VMLqtJMDjahV46pRo0q1oJLT2jHZqUue8qwISn0OU5un1siG0LNvgmIwU8rHudrVb/ecqSytuVKtis9N8cT+ThADu9XaZjSrRE0d1ER7WrjK1ae/BeDnWktJbsb2OlZsGDtNi9rcKq5tpBQXb2t7yulK9HbDVOcjDctEimoHD/qr5WOdm0tRAjAH+dRrYZuLTtBab7Q/bRN658su78oWvCiE6ua0alWq0Ve+AP7vVlsb3Y1Grr9EIy7VHPnI3+ogB+h9MID/hIfvzNaDvVyXNNMZYT5C1bUN5hqBTZo1qTF4UF4jwp8c1WE3qQmMfw1oSaP6zBAX85kgZuNDcwzSU7a4nV21caRatQPbFThOzMrscpKrPv7qDLhBdWppD2vZOQqyVB2OH3oNNyp85SCN/XVtdP95HYZOeIHE9aj+gRE7Nyfrl7pSdfIv+cozyQp1vOM9MqBsB4QfV7UI0SWwwLyDXxfymJpLM5x5v4pgPBsTCMEMAuK+WmfqfVi1kovwEKCGA7wBys/QbbTddmDG7ojxs6e87RtB3WDVdbZrv2J1MaUG4T7XuU044C4Odq2DXPss1+ySda8L3OlOS5hnxn6wgJ+W5mwq1NR1xfCdaQxT3HX6x07u8JfbqmPJztLYEaZei4vM5ms/ONkfnjSk0NtpMeMarxK2NVZJ26YKd0fGTe7xTitnbBWP60++BnGH92zkqpa3TUPYdqvYRG9+Qs3Pg9Vq8XKwsyLsesSTLtqvpBZtQcGYO/Eipsj+mcvYkXPVwdgsKifFuwMcLI5mLw/4wyU8X0BpecJFy7LTXt4nUWHbazkwd4BZnIMgRPjo90w2nNCrJie9fNhHRjCyTGxrij8cwtjzjp9IPLFtw3uObqs4FarghSuU3Ukq3q2A1QTCcbH97SKObCaJ4KQqbMELWziWm8J9WXL7m+Bsv6yL/Qz4Pa+Y1K1tMXqntIUrXCFWHRcc4otABBwQoWlACIKaKk/5vB0bnlqHM23dLm9OHhW7TsMBF7iABSTAwQhwOAITuNAnHOz5yyuGUhF2v7goEYoKu5farhd3hSUc4fVwQIIV+gThrVHe6V3o/ZeeNKch0B34vk+T7qn+4G85FWELUmAC8peQBR9QIZPozhsRXs77y2u86VV4+aiYbm+Qw/J3TXWx0Usf17eC9pNV0AVLYAET8AAPMAEV0AJMcAW+gnsPtgPWNwSNN4GOdwUU2HgWeAVDMAQWpzU44CRZcAQYEAEQMAEIaATLt3U7QwRAQAQ94AVeoAUVOIEYWIGOZ3dVQARV4AN4dwdWsAVASIE2mAVXwAMsyGl5UwRXgAQYMABqUIIJiARcYCvAlklAUAWOV3ZXsIOQJnFU8IJmJ4Mb2HI6MAR3EHp45juWpXJsmE3i5WI0QAOSNm6vpVr/QwVXAAcE4AAM0IcLsAAHcAFHYAUG0zN0dwT+RgB7RvAGiwgHb/AGjggHSgAHSfB6R0AFQ+A1Q9AFWKAEF3AADKAAYLAADCABFrAEXeB+OkB3UpCIkviIsMiIsviIScCIRiAFXoAEiViJjxiJvRiLSpCIW9B9PIOHeugADSCKCsAABlABcLB8faZJdKKLkziJRnAEVZCJUDMEVpCIsJiI1kcnsoeGt6RyykU+QPADMAADP1BwQvZAWkMFXsAEAlAACwAGYEAGX/AFYdAAFyAH6dJuO8CDBCAAEqAGCHmQECABCwkBDmkGCykBLDCMu0UFdvAGELAACvAFY9CRYFAABmABdgB8meQkRyAAD8CQEAmRDPmEEOmQDUn+AXDABUnwABUAASsJkzi5kwcpARIwAFIwdS53BUdQAcm4j2wwBmKgAIEoB1tABca2A0TQBUbgkwn5ABO5aVxDBTwgAAIAAWogAQ9AAC7AfVZAABigdVyXW/jXO0EgAyDgAXIIZfr2JuhFBKxnAQnAkR2ZlB0ZBgFgAXIALqRGBFfwAAGQAIq5lwiwjxv5mBuJAAkgAFfAcHSyBXKgBggABmNABmzwmWQABgoAAUngBXPyJ1QJAACgAKzJmvv4BaLpmvvIACAJB3rAAgBQAJv5mKIJBq/5BayZAAEAAEuAKSWJBRlQAEj5mWxABmSgAAuAAQDJgW0ylRiQmIsZAAP+MIxmQwUuYAABsJGK+QBlSQRaYJBoeHIn90d1I3l4E247EwQn8AEeIANcVI69VTl4+QaiGAbM+Z9h8AUFYAR3YHM7g4UPoABhEAYd2aBjwJlK6aALQAGPxzPMkgdGmY/N+Z+hqQAFwASUVwQ90AVHYAAMQAYOmqIpCgYMAAC2iZtikI8d6ZzO2Zcd+QViwIyDyTU0kwQHwJH/CZqh2QBvgAc+0Guo2QIAEKBJiQAEcAUsyDVAsAQGwJkMqgAPgAVjdwURcAZqyVlsRF+k9gMkQJ82cGLhFD9XWAcToABjwKH/OQYKcAFaennVeQcPAKRB6pko+qZ+GgYXcAdDACj+m3gEDoAAnhmkzYmiDNACGog9cNAAYuCXSRmkfvqZSmkAtpkBDNCXi0qjceqRAACQTsOJF5AAb6qomLoAF2AHOYhwXtACCeCfSZkAFfCUb0IFS3AAnPmZYGAAWFAFVICnXnpvbriGKDc5jLV0TgMENgACH/ABN8B/OiZ6bpcDQ+AFRnAAk6qqzAkGB6AEXtAqwwoBYOCt3voFgTqoH5gHA4CqG6qqSpml2YgDWxCpqYque8oAcCAILeCmexqvcdqPg3mXNPmj+soG4JoEXKCV2doCC5CqY/AFFeArmViGQ8AEvFqpYXAAWNAFPnAHEtAG6VlTwBRVkZV5MsABHwD+Au2Ia4PlOv2ErVZAAQjgqRuaqJiKABVQfm5ihuaasDrLBmFQAYLaa1UgBw4Ar/r6BQzAsJY3BHDAoAkbpGJwAHBACBnQq3s6tMw5Bg2wox9oBRegp+gqBjyrBVUAqxCbr2EwAAUaYXSisZ2JqQdgB4+3BRJQrPY3VsgaTe/4JkJQAixbAkKwZdO0XNoEKD7ABA4AsAH7tUwZB5jYa8P6APlataEZqEBgeVXQAg3gn16rqKyqBXNyrw1Qtfs6B3+QAV+gqHyqql8QtiyIA10ABw7wukLLlEzQBbYHBLHKAP+5ABWLLBgrBweQr2MArNkosmvgHV1Qba/lSS9Fb8L+VGxAcAPR+gEyYHTWul1x8oFb4KO6q69jEAYFYAEN+2Bm+ADnqrqeqQAVQIirqAUSgKiqC66zZ7v4qrrMSQYNAAeD4LqZC6dB+gUHwARQaZ0JAL9ikAAs0AU8UIafG7Gg+QUZsAWDOi5UQLeperV1YHd3cAEkC21DVVlpSEc99WBBUAPbewM/wF7Se6yDQwR38K6jq6rPGQFq+yeXW77oyqdkIAace4VMYABAbL4IwLDMogQNUMAJKwZhIMCuW6mqC7YKLJV2IAFJ7K2dqQATcAc9oCaxWgCJqo+3arzWhwUM0K1sIAbMa4YX8LymRmXUJUlRNkxa9QMqoAEcQAL+02o2kHZYlRU4V2gHueu/HckACtxnQNvFsLuo8iuoQMAFcMC0Ofu/8ToGPHsHVIC6tBqnZxvAf7AGVOutXvsFBgCiQ9DBCHvFHeuUalLBqYrGw9hlSZu8EuuxXbAFI+wGhHZlcES9amVXi9UmN0ACGvABMKB5KcxasrSJkRrKmssAb+AFgwoEeArJOhya8xsEhmkBC8ChXju0X+AAdWCMDeC1BZy5YOAAb9C6ZqvD/3u1CkwEXvAGT+y/SRnAqQi8bcucxDuuuDa3yfutBxDCQ4ChwNwdeBBtRUVaxZw4YGVOpPSWHMCyN+DMlsZT5liGsTqr/MwGxHsFnVuuCuD+v84JBka7gXcwARqKykM7BgUwk1UQqWKQw1/7v2TAr1r7vvqqs2Qwqs1rAfiryGFgAXhgfZ+LyWBgAbeMcEPAxp66vB8bBHdgAW9AaMYps/b00WxWXFOTSUUXAyLwx0LgzF/t0c11hXdgszrtxRDweIOKp0CdvxUwklVgBwdtwJo8vI7qBXBQpeQcyc2Zo5vaqSpNBgUQrFVgBfeLovwMqHdABPjcAmZb0q1i0MrrAMG6BXmQAXwACN2RPm0JSPjHS37bOXK3M0AgBCRw1jAgBDbXcWmqhrdDBHZA2CMdBgsgB1WgJnYAASmtqFDsq0YbK3CgAG7sv0V7B4JdAAX+PLpn3NNxIAicetyo3NhccAXI+wVxLbsQkAU5+Llmy9IFWtBT3amp+qta+skZ0Acxpminx9Zt+YbY5do2IAJnbQNq7dXHutq5M48HQM3/Oc//2QBMsAV0cgfEPdJEfAd51wL5GN6gyZxfMAFaINgnOtLWrQfZzc9iUAByUHZMUAAxbeF2uwQ56AVb67ZQrSauXQUe/JlXawcaHNry3R0L04buZXr0hMI6lXk1kNGArNYdndrNtQPRDcUc+ZqKuqBG4AU5QAWQzc3eOsldoAVrsACxe8B+/QVlMHtv0OH8TAYHwAcgrtiai6IkbnZv4AA4e8ULYARccNl6SgZFy53+CKerByDZb+yxXkAFeaAEgvAdXXDf34ta9L07xlRkP2ACGW0CtA2+QAU62YoB0n3ACIAGDrCgUNwAGMDgWB20ivq6Sey0FHoFVgABHOmccbqPx33OTKAH+qziHIq12M3m6NqZzgnHdeAFXZABFrynY4Cq5TwGCxDBPIgB/Aiae96C45KxfZ2Ud6vBd/AGg/Ad+DVclcNtdYhy7BQEybzMNWB0fAdnqn1LQHAFFZAAZ9ycs1sBb7AGiTyw6zqsXMzTSfmb/h4AFHoHfN2gBz6rDbCcccqvdzDN/GjgsX6+cGybLSAGBbyPixmgsKkACBAAS1B2FXDK/9vwszq08Uv+AHdQBXeA2Tq75+Bi2VhQ7WRgAK5aBXkAB6RNaIMMO5Uja0fm1Y+uOkUQBPv9x2dKh8FlT3Jc7KDJqnPgB36QAUwqsYBqBUGw0HlKzmKQowwQugtKigbwpF4gB6g6o8y5oGuwBmrAoDM9xX8ABwCwmHvZxeermF+QAC7auryelDmKjA3Q9wdwAA1gAAbQ8XeQ9hXfAG2AAWlP8iQdqMuHAaesjxm8eQhHt8x5tVjA4Hew4zG2WrFja8Jlx6InnxogAibwAzrXU8U8BFuc4ih6AG9wB3hwB3Fw72UPASNZ6kDtnGawBhWQARlQAcJfARZQAQRgBCHLBJuZufyIAX7+YAdKoAavq7PK3gILLwAOkP2fbuB6rv0O8AACYAR/QOHKWwa+bwEDgP7BTwAVgAEEMAVXcAcOENPMmQD/6AdwUAb076sOYAXxL6sAQYbNwAUXtgABokMHkCpLDowZM1DMATtVquTxU0jjRo4dPX4EGVLkSJIlTZ5EmVLlSpYmA3XZoVCmwpg7YtKcmVMnzps6eu6UmUMHjoVCSGgQASPhUJ86fwKFyhCLAzACB7L5AkEOnipd7lwIE5GNwC8OsFChkgcCmKtsxKyp46cOFixy7NjFsoSHlztGEkAcO/CLmjp39tzJAGYMGatjvlj4I8UICyUYlChJI6btmDRuKif+wWCEDuIFbMR+OTOnTpa6cuhiYYLFxZYudg5obhvGwZw8d/4kQWD16hcDWLpcwRB2IJkwFrYQSYhwiJwDwskcwLKFyh1BgFp+Bx9e/Hjy5ckHwoPTqcyYCKG+n1mz6fsgNz50EGEj59P18/frrEIOB76wToEK7qiihyHwUEK5q8DQqoftqLpqDAbguOMOL7rqosMrOkTrDgwSsI6ML964wwcf9GACAgIr/OICO7zowYorrLijjjXYWu4tO+y44sYttrijBcWGW+MOLqqgosMO76ANiCG8wKIA3K5CoII9luTCti/aMg0AOa4QkQGx2FiggoNkYmgJM8WayI4hqAD+RBDz7sQzTz335BM99eJ7KogghGLvz0Lh8y8+HYKo4QMRRAgiUUSheiqmLZgoYLG2FniDixxw8KGLOBwIoy0yDGBizjwe4BGrBuLgioghEKKiiCKAKIKKHu6woIEzGTuACS5UrEKLChQQDisJ7Oiiily32yOx3Fr4owu0rCUSgwUiImOMBDJQsgjoqACC3FoR8gLTM01bAI4ufBjCh68UWDeMBuDwArkwvhzrsSuIYLMKJh666tTshvjjDz4XZrhhhx/eA9GYcgDChhd+AILQpvgDqieO5wsCBqRSiNSmhTRe7+OOq4DDV+G+CBYPonSgwg41+B0IjGB9oOKKtSr+LMBdHxaKbyl5Cdi2YAjtoAKHHYjgQgkErmRDt4qIIOLWKoo8kt0MvKBiCOiCGBKDrtFAAFwfbkIIiJ6A6CKJTNsqS44Ed+iBixYWKLXCdr3CwMzhKvhXJhyqwILg5ShiEhBCHoY8csknPykQKihVCKEfSgBhhkEBlRTzjRONKQgQOBChhkFNBiLS0BXdyWMdiNgiidI2cyCLIpw+PA8JGvgCojHEKOAIKoqF4OV7m/5ph5nLtQKsXxXIoIshbCLiCkyruko3LKqYj4giXyQIAy8AXgihK/YWy9sMtCgippmdZmqIuJGFEQI7do+pCziSrlADUHQFqVmFORe4A3T+FjIEgSnOLcXRjncoN0EKVtBh6PmJUN6GEBuAYAMy0FhNRHio/yiqJzmwScU+gLobBIF+OgghoVBospuoDCdFICAABbOsyy3wChYAwAK+8AUwFAAAcCDCdiAghsbcqwtE2EEIZzIELUxAh2RQQBK6MDMiBMgAODNNA+TghSl6IQO3YxcGrJe5cnlBW+371r9wQJRP2eQm9rMA/gbiGMKhTwcBcsC62IAAJWSoBXrEyoGemEQqcCEODhwDRYLQBQtW0pKXHE96+GOyRYXsAx94gev6A5/mGWohMuBAB0wgBEKxjU1LGWXsZEK7xJxpDGFQUxGa0kUjCEACF4DABSb+IIAjlEsLS1zOGIrHBSooEIozwcEQ7DCBVo3lQj30SQ+m0rc9LoAJW6QJEMYnnAW0oAvuUciU3rjHb6VoBwjJ2g50iQOKeSGPm1nA14gwMyrU4QFgdAwG7nCFJCjgSl9YQx644CQvcGEOgaxQcaqwBwli0qIXxehHItaf0gnhdB+4AexSJkuoCKV1JOAAB2IgqP04j2g0qSEJO5a9CrBFLGRYgBLWGBOs8eAIR4BDUI9gBAVRQQsPYOIewwAHPaDFqbVqZkKGUIe1/MoATGMKzewwgC+1bwFxqAIsidAFDCjANP1iwR1gqQN1HgkiCVgDF5j51FpBB1339Nsbzsf+lCpkwUX4zMAVvNCCAgiELGaQy4+wIJc5OMg0ZtnCHjI6WcpaNBC6rBSbbPBJEAghITZ8nXzoYx/82KB1JYThZ1O2yZkUwQ7H2kwB3tAFFLKHCD7YUBW8sFtyDeEOyNyjGN6QBy1owQo2spGEgBDNxFWTDPoDmAZ9m4EExBYOYWWTG8nHBjCocVY0UScAvdWGOmghQzgK0hXgVa4rUCB4QINDMynG1jtUYF1fUIAFgtQCBggnDGg4QwUEXAELZOAMjoWZHYJQWQY3mIJrFS0Mg3ACD3zgBIOq4wlhKFOUxTIHQqiBCDiQAs9mToN2hKHGcrBimPpnk0TIwgReFJH+MTiRYkK5Xq6y5iy0EEFQd4hANcPQhje8AQ5FhoMRksyD3tbBANUcwwQSyB4qbAED21WmEpopE/slRjgKaIEX1jqlM57pC2Yo8huUoOYjG+EIswrCFSJg1uEEiwvvTCev3rvHBoDLjIJbzhd0Yy9S8Q2MupEDJR28aEYzDA+ZzdwPQFBhGwQBlhlcSoTZA9oPpyClK83cS1G8qIUICp0j/NgOqJAFVm1GjLSNznKfJranDW0IQdgOq4QzBjSYwQwTUIMEHCABCRDzIEMYGNXAIGUqRDGdXVCCDrMs5ll2IQN0HogCWOCFIZSRfRXqtRkgoAZyE/sBLJhVFaxAzbb+gEGidl1IFyyQgLBAJAwLGECG1pnMIfb7CwjgV/sogodGF9zg5tmDanUShBlsgAMgMLVMN+wTTk5c0/Jpzw9M0IEP1EDWqYUp21p3gxvMl+IVj10RsPAzgcuhaelLCNagCEUcRDcId/gnmByDXwX8OwENCIARyNVAqonBAtw2XJOivRkFYKAKfhyr2ZTm3SmSZl07/0ICtK71ABDABwyxA1Lp9oAsOAuWVWBBAgR9yy80YADZqqZprr6ZnDnADpI9eN71vhLLAaV1J9jAB2BganR2DOWmbPFNbvAoEYQUxRk7+TuBIAQbwAAGN7h0xTdJBTmsZdeMUwjFkqjjZs7+SZdSwjki9xg84YUhDAHQ6fGYwABl69ePNafC/wCTxjU++4xtAfNes7vvPTpGeLccQ9clVLNWD+cBWhiae3LFAgA0AAFqL0AABoCjDHATTN/fo0AiaYeK7t385w9JF3S58BucTgROoMIUfkADUZpy1B0DnQ42KwISCAGzpPOJyZMBECABUMIwijOUn6ACJngyurmqblMIRroWtGAStACCIZEAMKqQsxIIe8EXuIkDK8kNDPgXoVixchmYdUEAC+i92bE2HWo663kbXtGhDTyrqvmCAbgCBrIDA0gWBIAALaiVHCgCkzoCAQA2CJCACTg32ug+ugM/nRsDB8gD9LP+wivkiPRYOEYRsRF4AsqDgROggeWSqfs7lJg6FBhIqRPwLDTMiSCwgaPQgA0ogR9opVFyKSrAggaskAe4g26bIyrgASnIAtawA7qwAymQkJt7AGyLQj6bLR9gmQPwvnK6gpkQii5Ql00hgHNaCnHSFqXZtjFzo675vnVJgAMZgi3IAgOgGgSQsiq4CaEgAhcwAiMwsje4xdkQkT17RPATgwkQhEDAwmI8v75LsdATAk/rABVwghMggUkbvJAbHU0jKZwIghL4gA1wgik4wEShmBvQRg1YIRCww0mRCYEpAO4RjAkQwnRkAQIggAG7gAqQxzfzip/5xYGwFyOwnkv+WQCqSYAkwC6iQcEDqKY0mbIIdCN6uYoYhMDUEpEafMQEMIgqkCYDWBcFQKBmUwiiCJsggRIi2YIh6DLH2sfNyACFMcaWzDs/yQkguAES6IAOWIEU+KQP8IAScB0aEinRmQmZrLAPeIIpsAEbKLn5oJggEAIY8AAO0IAO4AASSMqfRMMF1MiXkbKEiCYfIAADMIAGIJWxBAAW0A6cY8d9XAAtyh44cCA0MYKCXIohwIL+IqcB8MT0GSw0IgMwYIGdyhw3Kg1BgsIvOJAtqIIeBCOFxKbMmZMJtEAiGCzVS0l+VILyc8nMXDQ8uLSFqIGa7IARGAGp5IAP4EmmMBn+OkLAm5gZ/GudRvGAFHACJzABEjABG1AxQYnDFSJNEsAYlOmwt1HHaooRpGOvAQgifxuiBmDBrfmrlByDtbQWlvGVClEAI9iCUFsIKlgCiLoKhVSgmivFM+muFlyIiSRM8IuRHdyC5oKRA2lMGJo5hLA0IMCaKjgkxkiWlEQDPsBMzQRQyuo7oSCKCQPN0ZRK/pOBzxEtyAOtnQiCKSiB0myCJlgBEbOw3JyCE/gApFiBEdCAEmCl0DO5/ljAwqIbCvjDCGwvh2yffwus2vir/QS/duG2LWgZVISDr0PNhUicXwkDvAxPINjLCgEDFoxIthLMX3yZA8FIxaQbJw3+SqLhjyTKTxoFk/1Mg4wI0C6tLPRgMR0ogpkMTdDsABJIARn4gc95JUH5v0mhoyB4AhETgSZQgVSqSaqcCUY5ig+oUBHQgAsLiomTOE1E0cFBOpM0FkBrN3Bxzrh7xAUwArDJPe8kCOxcP0DUw0A6E/DksiIVC4gMShFxyJQ0zBRBnAPAGT66Ayq4w5wIISLlL/1kUjBxAy710lzFqD0YlLaRgftA0A5IARWwgTVtm6K4gS+svwedo0VxAhEITRUAUdBsvE8UAhMIvBSogTnlgGmcGEIVKUPVlIFIRWqLptdyxGQKrEcNDCa9EDHD0ersJn/MGJeiGQHZPROpAOv+WQrJDMWrEIO/7LY7KhKKjMIY+UPE+aJ2g09YhQrJvDYs3cc+eBxdtVhMeglLg8MTQJ0E1dYW0tj0obwTOIFKqz9SoqfWaYJUEs0OiEoENa0TbJSpbIIncIJPMq3XISEcENe2sEjj7JmaAj8wWNff6haJLZjrfKLcC4NkSQA4yM6TQ4gf3ZQKOB+ujDpThEhYIlKzSc8bFAxVTFUwyi+1krjQyy4jWY7KHIg0sJOLhVtLwgMhuIEYMAFAFTE0vQGMQQhCaR0buFvTxBh0zAkhOIGaHM1HGQFo5YAFRQjDrbATKMoa2ID+Ozl0VMd6EYAVLZf6SipTIVoEsQN93Ef+MiiAJOAChnDLdZHUNWEdzgskAwKDfHMPopjMMxHVT/02U60ALZiTqSDbhtXZUfVatr0KN3jbuFXeCQIEGTiBR6lJETABGRCC+lQPmbzbqASBFvpIwwmdmpg8mkRQEoiBJriPD8DNvyWBDQCBGpgCCf0AE7A0M1SZnlWqCTBOIkBX8AuDr1GirmJSC5lU2oEDS43OuPys9oDdetlXBZqdJV0OvzRPUCzVfURYWdnDjdxXCDyhmUGZC7yyr33EPhiE5TVhyoEBEIjKPK2B6uVKFMuBCeNNjqs0xJOl+qBJ/CCBbb1ZEUDfGBaCGNDJEvDGJ5i0nI2fVIsPgZFXwUD+oG6bkyyogMHEJ/NJzAfYvV8sInyZEzgQHMMCgzd4DgTEgSCgjl8BAwIw23S63Qehujv6MxGO0n9JzIV9SKu9HLcpobeBtuoy3oEo4RMWZMihgxkWATbsSTsqHRk4itAcgQ9YUPwrpUWpgVQSsRP4ASGYgk/iAPrDYRHwAM+ZAhnwgO2t1wyKCqxc1TCIAC0An4W4ggrwxe/MgLMkXZ0zlaDZAknEFKoJAyUIK/koFznor4JRSCmhiSJ9SPMhReL7xZ81yVZcVQWgALCBnR0Qm6GgH/tx5uIDjCxug0EWZ4fJgxBA0PxwHfpBsZmEylQqzUj24LNNoSBIgdDUAKr+xLUnQKkPwBghWNmp9EYhKAEPGDwHRVurvNcGqCYIgT6F6AEvkJ52NY3myJc7kABI/T4yEIMEMAI8CBU4QFHxC4MwG9jMaaACARd04matFdiemJJDEiQNNI0vEABuI4KVAyMwiACzbdabKAKxwZo5IYIcIKsFsA6s8DeA45c06INxduqFiYLx9awQsqMgiAFA/QASGIHSrDQyPOiKOzEdIFOXLeggeNapbKEpSAGkgAEqoNtSHsNIWYp4BorDWQI7Ng13S5GE6IEuiABuEo4+a1Wck2l/w7oA0KJQ6eUR7IIeCJ8FZFQySJuDmEtlzhmq47IiqWDBUM4hSgAdrDn+LGi+vPZDhDAZDeqirqjAsLGnGhSDMDiABWgABliAARmINkjep9Zt88iDFeC4lYI8QqEfjYNKE6gBT+s4Bv2PWdRjmYTWM01fIAixexYUfUaKSpsCp6zDjAGC+euwnQDJu7YlCKkDCMSB6HG9sfCvryGSi85SMACDMAADBggDBigAA/DHOYkDHwyM4amekl4IgbkiBBAodOpabBsDbRO+mFAnyhQDBdgX17MXA/C6JGpFqvkCHoImKSnEDs+CK5CCUMmAQ2WMNMiADCgwC6iADGiDMOiM3YZx8wAEKOC4JzhZ5ynCENsAEZCBKbhT9C2ZQQVHn8ABIEAlqSQZ+lT+ARGTXy6856LcLA+QAfoUAhkoARogJefZVMCGmbIjiuwZgKY1rG4Cl5rJwD0yDTMQsAy4gAwQMAsgABcwSawUP360gBVlGy/QvYJJADUy8DbOmb/UYzbOz7YAMDe/gES/AAqgACP4OiI4Jh6JiLKwgy2QjxygAhdggRbgdE5ngSOwgi3wsoI5Az+wg9X4ET94AzJoAz6I8VcfDzoIAXyOSYrRuBU6gRvYgiVH3wT2sNKJAfzgANV5XBP4tAiNAdRJgSnQZ9NsodZxAs4ZQyJvTZ2gS9t+kGAho3faAgEIAAJhjAfxX7SkmzXwAyZAdyZYAjlYgiPoASkhOjQfgwP+GbPcQwBTSYBC4trBMsUFMB8/UtIMYFTUmIN0d40lWAIXcAEfkJXfcsQaqwOPzJwuMAIDeAAHwPgHeIABmIIicRCNroA64IIrsIit8QMx4INAhvWVZ4nejoESmwmAgUMfBgHsVoFP4l7WwsSYMIpUokoqp0kPUJ1rRYomcAIh3oAWtrQqL2XHPrxCwQE9lADv+wIG+KaUvQLkNOoxJwMGKPNpCrhbwpDcQkzt6K0iP+MbDNLneBsvSIK/SFpgHnQgWB9HLKcty+z8pLEvyIA62JC/L/m1ucArYLcKcQAm8ILnsR8CCAC1W07tIxIlwDaQbypnwRouqIMJcHWW53z+lfgDOiB2nZg8jjVNQaHnD9jesCZU/pg89wNuhFg8cryBKVg81HGCJlhfqmQlIHiCgS4BX8c/KogegHqVc9pOFhiAM0ADA9Lo6tka9+4mOMADW8kaWykXgGEIAZF07oqAK/DIE2zI2NKp+ZDVCv6CbQN434LpPUqbcJE5mdsd1KOm3RP71M0cIiGAvzC+MPjsOyCrIQIINmzIMKhwhwiRHTuIVGGyRlChiBInUqxo8SLGjBo3cuzo8SPIkCJHkuyY50kQIDpW6hiCA4gNEhs+3AACRAgJDiSEqNSxg+XKnz+BwvwgQoSNIDqABKkhQueNIE4+dBjRRMQGEjWCpAz+YuPDBxkqFQ4FCnSIlQpiBAocs0BJlyE5clDhwaRPmTFkBBLM4GXLnQdgBrJxC+eKjx04VgIpu4MKFgdjCu8F8wALFaJXLHxhW7gAnMxDgXjBoGCvwAUYuhBhmQPIHdOox3zJcJDx0tY/md6pwIDMbAZvqLRWOcROhTCT2zawcKcLhgXLyYipcGXIEJ84fEiZM6gk+PDix5Mvb/68RkB5go5+3YTDhxJBXt/4wOHEj7FmzQrVESQGBzrlt5QQAGpwghBT1MDBCCKkEGAMPNlU4AcgOGHTDkWUxV9LV2Aw2Gxh+KVSDkF0cUcdZaAGnBh+dWGHBJ21FQYcXhChoQ7+OOyQQ1nHQfAFamyIcQATVPyUw1IwytgWkZmxRFoLYCzHhgItVNEaS0N40YICk40xRgIZaOHDk0uttBgVvZ022wIteHEkES+qMZhnC2SwxRVKJMAWQdbZdGYVWUCEHqGFGnooooleBEhPPjH2gwkzydBVDPbBkFJQHA61WA6QwhcDpjng9FQNUwhxQgepdvDBCTXZBBMIG6QgRBBk7WeWlh8GSdsFd9iUwxBUcFEHBGvx1eIdVGwhAYiF0diFhv2ZVYUdakw2WwNwVLHYSlTIEaNnYzQgRxVlwYYBA3W6OYS5XmRwWlu1WeGSmSo1thsXFnS5l14KWFfEmV3UcQD+nWy1ecWWCUxX0BZ/2jTEH4QoOjHFFVt8MUWiOWrTDSJUGBUQN5gA1gtKSXvrDvb+kNMHW60UxA0kaIBUEDilOgJUKSn0QwwbgGDDFEAguSFQ3JLGggKesfGFGnZQYVwRWmBRhrEDgWEbYOAStgAcXOBYRA4A54ADmlYwu2u2VxAhNBBdyNHAlIUdIIeTjJXWJVsKrIblSlq2wMByYNrmg8Mt6ehT20gHSYYCE2iB5RBVwHFAkAMp8IYXV7SgMF8FWNAwiW0DgjHppZt+ukh7AGzuC/aVwJNXT3Hg6n5DbZqyV/aRUFOOTT21exBPkKAqCTb84FPKNsSKIKYsHXn+a+Rw/ObZFw5g0QWSQBDBRRwMJH1sBl1QAWOzYxQQBxfsvrrUEES0f5xaSiNg0LZEmKiEdNQ7YEejS93BJZ/AwAIv9E9LGQBcW8J0Bx+4JCEJIQsQiiA5vPFlDAdwGo9ywIU3LIAMcVMAHLTAhQwopy0LqEAVemKTLqCuhS584ekCUbfFBOEE8CkZV1TwlA/wJFNEy9RSciAD+5hACIz5DxF50rGb2cCIRVhbEGDgsxmkBEm3YonRqAAHyYTrWUMAwna4YIQCxK1FV1AWBOjkQa7tgQpFoAIc43gjCW4hAx2knhrqkL7I3SEDnGPLFyTAP0f5rwX5E4jeWHOWLa3+qTC10YMXisAFNxbhjZJ8YxWQQEGBhMEBcYgLHzMAhqoVhgFdc1cY2OKWzyWkW6ODISxjKUtC4cE1ISOBB3ZHBZiNoAMiMEHzNkS03dQQPpOylxBMYEyu1MeXTeDKSooQuw2cICUkch6HcqSDTB4gbmMAQwuSpQOGXIEChyylbU70gCmRgUZ1uMNf8rCFeSLMC1UADAYQUDm3GIEL9sQDFszwhbgFMg/ZedL/NlmlFHKrJX1EoCPXUAct3OEKFrVo5rxgBWExYZOcxMAeqtCDF5mhhKo8XxU0tyS3WEchK+lCIGYp05nSFCSB6IIKhxiflCjoKByIwZ+A8kPX4AT+LCB7zVc4AIKa5I5BT3BY8Eb2ARtgaCVWvCJLqoCFNCoNDBeQQ1yqgAcmQMCkhbFTFwAjGMKwAQxreAMc3qAEONC1rkYwghTukIRGArICIuTCHd7QTYIapFE2+d8CPKMAFigyS1uSEmrAcIY3wLWudoWDEZDgBSx4lA1hgIAfunAiOBRADARtABYy14KB9tVGCqHCHmoq29nSViJ7CBlTKvWBGewymQyaqlJql02Y5QQET7UJzz5Aza58ZWZTCEJmgheDpyDoXlbFakN99L0KigEO8PRCHxuwpMJczQsvYla40GAGCEBAAg5QgwMk8AAIREAARrgDaYFDPQjAoQ7+dWBCBaSktDBYAKcqHAJ0NglOAp4lNumajRjMUAYHUPgBFobAASDwABZcwQ5cVOUXRFSHP8ihAgONWwIuWIUtJTZe1tENTGsr4xnHMhBTKJlvLfS0mPlSBLwzEzav66gcfOUDwBQazCK121cNET5bedoTnKLUpBBSyFh1aAQ8OgYFXIAJdrADHNTg0TBcLVl3QG+4wKAABXwhAV9AwJsVUAAA3JcJpd0LnsfAgMnCYQ0HAFK42oRTzRhSsYzNzlAMCNG2KAABCkhAGNy85gQsIAADsMMdBKo02pRBCW9Yg2S8xJYESOAKKTVk4L5QgS0YiQp4oDGsY226QOThdTH+U2p+bkICEWigiEIT7q2Q+AFQWVPKO7FXDYyigRQ8QQg3qAHLIqQzl2LXNVTYDAKmM5AQVwAOSjCDGMbrLL9UIQ9r3eeJv+TBL4UhAErYgxwOIAY8A2fLDICAGQ7QWT3DAadWtAkjpyTAuDSYS+wszJcS/iVHJuACedDCGQC9cHajQQ1hKOGUwESAO+SKjGwJg0HcF2NZk7zkivpDCaYwFVbN5yYmwAqorvjDnwRBmVN91X828MsgFGdBvBZBDGJgguH1GmRAvLI2l4Ltyu1FAQsog77jZjDbXPtsSqscWwvTgDfgIQvyZqcHv9Dmge7TgqEpIIvrhAHXOspv+dv+ldKU1oBe9TEB+qVem5Wjl3A1wE3XNmQqz1pYIOwhpiY/POLNo54pAOgDl5pLFJWblKsifSU/+N1xbzmzGoDxJTYQQaqOcpQOaIAExwwysIHyGi8kweNKE7vY+RV3EdnTDhEoWNyzLpA2K+EOEE9X3GnD2k2PAQJYKEKjUlaac6rmSos8oNRz75kwYVoJfA3X8DfNtbhAx+7XUjXHR5748ZOfJISYAhTgc4O53OQEuRyQa67Y0I71+rlMsWHpn6qj4PG6l6TXgAZ0QA0YEZChDFYBgeQAQOARBhq0hfQJhAKlyVpdnWdgXQLARb7AywPmHgJMwPElH5S0WGpgABf+NIZjfcjebaBnhMEFYBppkRL1SF8YEMk8dYEfTQcYFJbhlR8P9qBJnMBM/MBrBA8uVRPlCdWtCFGApMBzqZxMDFvQ6IjLwUcHBAgHOMiPvQTqyZ8VDQEWlBZfbJoYAlL4UMsE4J4KCkQDKIEX4MEbdJYK0objVAESMpJnCJCNPN+ipaFnXcAWcAETyBvWxeEBYEEVBEFs/FFbrRoV7KAPPiIkTgQgwIAHgIBSMEUNgEBYHOGV0dwJgF4KOMETxARYFI/JpMwPyAAIwAcHZEUKREW9HF2VyWLf3IEBlBBwDKIqBQmySCAa6uL0wYUXBGL0PeCX+Ev69M/RbNIXsED++mCR32ig9GHdAvSKF2SBBAAfH3LSBNzBId6BnqygQbxaJJZjOUaB47kEEEzBg+wOVjkGUQ2PL6WACqTADh3TWDDFqYCAJpYADExe5dEiUMTJAJgU1nmTZ4hBgZkhGPALMMrdG3RBh/3INgoEGDBAEuCBXOiAFe0AdCwaHrYGtyia7qlgAtBPWjTAQ8YdGpxQF0DXFujJAhLYHTiiOd5k+f0BFMAAEAwB/1ETJ1YZ0YSMfdwMzgTI6wTVbvzADcBACZSADRjdOwbkUuCBEqjkNu4dddzJ+JxhYWTlBYrPFlyAuG0gGXwBkXhBcDXK3QQJGFjAM7adHVZkH5paIi7+YBq6BVyskB0FSRi0QGzhpGDyIB1EAaWAxaRQ5RF9nqrIDskE08swBVMGQdA0T+oZIFFsAR0cAF5uIwOEj1qhoQp+QQMkgWhtAQYoYhwiAARkQQqZxbmcExisRlDlABG4i2iq4AmZ2hYcgXhV5BgYABOkEILJxsfBwSsNpnIi3kk0YQko1fqNzRZWGZIlmy+RHnzEB628BvIsBVd8J1f0DxLK3BbOkwR0Zl6WGSJSJHCChlgegSIWY1uQwfx4wUEthb3E5CGRgWrEhRW9xP8IWFbmoNpolQMkQAPyoWVgBsBxSZCYgR8sp4Qe3uJNQUxsgAnkR1AmIVPAgH2MgH3+gMXPBJOtMIVNWJMsDtUsOspomEgGwA1dugVo5kEEdIZ8Bl8AvEEVUIEXptGNqlIYmBLBXddrxAbZjWDDcGT2LN+PXp2/mNoQ3MEF7AkfshTHtUQVcMm8CYQb/MGEfinJqYcTSFVi6seKEgVTlIAHfIAKkECFlAAVzQeLUttrMAV3Io+KqugsmsgbNAB6Bt8YoIFe9OIVaE1WghABVYEVWIA+OaD0gYkauCZRMEZsGORi+RtHKl10NOnrWUf7dMEYlWXwgcEB9JMJMhJqpEEfgCmrwhogAIIOZQXtiCeHMgUIeEAJOEENxAAM3ICGzqmtZCp/nMyZrmhZxMkSSED+to1mGLSBXtiJF3SlqBqjAiSBfSIYHACAfE5JpNlGK5mFskQHYWzZ2ikjk1bkWb4YEUAGBCCAo+ZeGHSgHZTLOGWpBvLBd7SqvtYWIECBx8hAD9HqAQbBC3gADEzBKP7AfHQkWTTsLEYLtSkm0TBEFlgApG0gbaSBG6BBiFGdFkwAp4bL5eBU+2wVAuGZ7tFGtuAU2WjTbvzP8FEHXPJNS2zJHqYhAvQKEeDAEFxBBmTbjY5BGHgOF0AOqgrEICTnvi4tTeUBCoDAc8XflV0VELwACFCRwrIfkqyOwwqF7TjsdBYrNu1A5DCBAUjHtVxdvK6BH6CBm/mFF3xsyKr+UgJEZE9uz14JaO6BSQs+jdQuRGzcUdO1QNF6rZZYwM1irKptwRcNARcgAcFsYBh8wQMM584uRcBpLNNurmxBwVaYqUAmIQ3wQHj2BMMKpa14rTD5EIu2bpXpCBH4gB5QQAFAVvB9AWgIggOEQQOQ2x1MQNIo3OIgnJe0md32JBfYwdluK2nCwRbUCocUZwfpBePApUsphOMiTcGIGsJ9JbudJKs9TFosgFlhH9EmRPb8j5+mQYRyrvvOkjxhym5Q5VBorVksBrHi6VDpaYoKlUJIEhNcwLIOBL21WQW80wQEQAJYgD1pwQOwmdhBsNgJH+yJXQK426C90RUYgQP+ZBvWMY6/5MGgKanzxEk+iZ2aLZYXHE6O3CYLAACbjQGcVTANv9kXWBroLEUXwAEEnBOf8O1wsot/mAgGBAAauMH7JrEs7YH8jufJ5O/p5il7AFt/VHHrEuv/7kAVcEES6NuJrVsYLIBwxi0GGIABsAAV+MAVCIABHMABOIAbiwEDzOAc7+7FUZgBHEEwaZUFNIDeDgQDMEAEfBLNYhMOdAELtDEDHAADnPFrKka9JjIjl8ECMMCQzDEjZzIjOwAAsMAWBJEOUIEVtMCfbWkufsEiJ4GpccpSUIERAAAGDIoSz3ILAQIe5C8QXS+eiq1i0u9UsodCVEGgZAAEUFr+iEVaAjiAErhmFRwBAYTAEWDHFbAAAVhABlhzBmAANlsANmMABmQzAbgApvCsshxBBhzAAijAxamZAXQbF/hAK60PUFCBM2eAPV/zEZAJULyRM7NABbTANVszNwv0NWcAAWAAAegxkiwpE5xzATCAlISBnEFAC1zPt57oERiBHygtLXc06dyWntrOFFexFfdyJzoxefbNbTKBElyAAwRAAzTAAUiAEmBB0RZBD/CAC/AAjwIBD2RBFmCBHNgBFhB1UGMBUmMBHSC1FDT1r6CJssABBkiAATRAAhRAO8OBFHBBhlhVT5hLDyxBUNdBUD+OVS30DnBHUB91Uot1Fmj+AVDHtQtIgdDMBY8Iix0kwQQYQAH0tQEIwBtkQR6etfb0gB1wtEcntsXU0jChdC4TEv+adNi67hXFiRUcAUJbAAHMlWAbiYbciL08jTCnVFoBQRydduRQwY5iB5oqCxYYgTYfdBIggQ9wNbXVNWyqdrRKZBWwdpkMQRH4wGgPt/iM9hml1CQBDK50wTVitmZbAAYsgakRR0NpUyMqNnZjTCD8MmR3Ny5Ldup994ZQHhWklVLLgRxgwRWwxs7+L46wxBOtzaukDPLZxNpUUiURASeatmjRwRKktxVUQSVF7J2q3kKYtvYgxK84zGKs62cj39MQxxutjYQ/0W6oBM/+BkuaWIEc0IEcTEG0Uvd+4AAe2GR2nzii1BJlh65PKHflbSh4f61ZXNXhmHZ5q7bXlMt2kG3KkA0ODM04AZkw3UjD7uwRRlAcdQEXiBaPKgbZ/BrqcUvL6kB9A8yrIMkXfXUQ3alNZEbL4i9HYrhLBItolXnsagenWBERoDibT4wM8TKcmzQ8judjp3T22IQU4oAbwRFCPJGGmDZwN0by0am0iCQYKQRCLMWctzBxtI/fpoxQtZIwOQZxIPjTyPer3KdhWVl/vMraHPir2HdCAAyma08RkGObp7qh4IGRpDTqSctPVHfYRjYV06JNWBIlPQwcvVEEhbKNn/bT8Lr+i4+TG9m4JT1Rsbus6oXyG/G5qbtRpohnxPq5+JS5eZU5HFWVkHMIskc48n37w/wJ8oH209i4+Kk6uptHINzyLK7uFs45C7OuUHZ3kEkxS6zrtak2HKXVFnSBMPcAHAXBELDaPd0THBF8CtnLuiKYMPv7eguzhgvNDzV7w29BFbxknxPSn5DNQkA4EVyBFQA1UjPBEiB1FljBPO0oj2oHVmFHHLEaFQC8fMe6jfuAarOav3dBYKY7z5eH6mAm0Lf7ZIM3vRPFEEjBEjCB0jNBegu1HJC8HCxByUc9FjD9f6M3ejMBFvSAoPcAFiR90i+91S9BgLtExC5FD7hAyTP+fdRTPaLN3L5rFBYgARywwEBXgAXgvTcrAXr3u7ML+tcOgdcjgdT/93+TfA/oxk+kfRaQvOF7mcT0vOSPxx5kU7HOHJ2LtEiveJ1b/kJUAQsIQARMwAWQ/gSQ/gVcwACkPuu3fuqrQeqTvgBIQWtQARJQAAWUfulPQAWQfgU8gAVIQVzQaSgfgQCIvgRcQPKLvgDwwOowRudtz2ZJtQBAQBsfgJ9WshtjvxpIwAAogRFYAbS4kXQ2FBBIAQVEQAS4fvqzAEI0uBQMgACg/vorgSxPPv6TxLp3PtI1NovHOEDo0LFDYEEdQLw8AKBAAQMwCsCA+ZIgARgGDBtiZLD+YEGYL1/AFACAhAqRKkcCXGT4UMGCBAwKGDDChQrBgkOqsAAAgOPEMA1Euqhps2ARL1ngYJDgIAECBR+hflSAYGKCBg4uYGCShUoVIkN05BC4gwoSAAVcJliAEQCBkgOpMDHgFKODOYMK5dW7l29fv38BBxY8mHBhw4cRJ1a8mHFjx4H3FBk7mahBywUrG7RJkPPAyZ4/Z768Y8iVBwXGkBmzmvWYL67HsGkN+zXrLwaYVEEIp0DE2RLHiClwwQ4VHATF4jQCAEzrj2EALOFiE4eOIUS6ZEky4cDa2mzAg08dW/zHqxOMZKlCpUh1gUCoHDkARsxsMQwIcCEycIj+HAMLWAPDDUEeK9DAAxFMUMEFGWxQLyouwyzCCSms0MLQQHvvjghAmm218ECULTzyxEPggCN8AKKLJBxiTbXWyPjigDe8AEuH6obwwogCXhNvtTAOYOItseDrgokMmILqQxLFI2PE175AIAEIMmCCCx+qs6kKJg6obTb8vAACCB3imm81MsjwgxAH2WzTzTfhjDPBQCD0jKjN7NTMMtEu3PMzPz0j4g4JwhARxNiYDDHE2MA4QI4tdmNANTacdDI18cKQAIsuihDrIC+SaOCLRb8oQA7dBCpiiC6wGMABqJ489EwnSQXSAiz0Gwu+I8KY1NAxFLDACypygE8OB8D+qLQNOZlt1tlnoVVwjzolpJDPCK/tE8MMgbjjggVGJBHRRRdlLQwH5AAiRzgk9VVRNsIooIUraroxxyQAXJSMApgoYkyBqLACgy57VNS5D99lYyIHLNBCsoFU5BJNQ2UL9goxyWQCWUrbIDDaj0EOWeRnA8FD28ru1LbCzjKcsFsJEkhYNigV9sjL1ZqbKAA6hgjiDiPalVk2BCSQQz8c1AW1gUTZuM/KgnzowogDwmjuXdcmAiOMp0alNcQwEIAAji6GwAEHk5gIgzwmGaiA7DG3PCC2NPgY2e678c7bsT26YDlPlgH3E8/RtsXQ77EElWBUgz9CAIEwKIqcoij+GSqggQAAOCKIVdn1WuYvGGjhDuNwKA3fqxcQkgggcKjCiggeZ3rocyWooAI1yljgNc/Dm+hWjNGWm/emCbjDxirkWJoMN/DS2/nnoX/e5MH1zBBPv69vWfA//y7o5cUV/SKNMya44AI1zDf/jAsqYL/8AQbAgopu4Vhg+He/kCC36oCoQokGrsYAJnThIJxbyIc8N4YEhKECb4CDHOgABzhUYD4TOxTYHHCELVgHbQyQnRiENT/ryEFubehD9FCYQhWSzGTdG1xnULYtGFoPNDOMIeLuMAHwhegLb4gDHJjABDnIgQlxkEMcilhEJMJBg0AoQhc6J7TyNCADVqD+whBwkoQEyI5fXoHPHSrwOEqFbwEZgEMetnCHLuQhD3HIwAKaMyvVkGEBBWBBSXaANvu9awFuG4KYqHCsMfSheSs05CERiaBAPIwyNfxT4ByJLRpuTzSJA5fBwjAHPXCBC3fw5CdBeQcvaKELVIAQDrYQRSnODF0ExE4SFMC0MQiwC2I6iQP2aDAFVEAOXihlEObXhS7IoQIUWQADLoLMhgBAACnawQ62lC9FBesO6tJB3JiXSG1uk5uHaaFoXuhISNpQhnmSkN8ExaEPanKTd9CDO7mgBzx4cg934EIVvEIEpFWBN/cb46ESYIEtXBFUqDEYLcV0BwxIM3wOYIL+F7hwnYOoiwo6uoAEJDABjU6AfBN4AAty8Mz+yUFt+KvAsIoVSDUMAhDddOlLYRoITjUSktwr5wwjSU7CCWoCl1QUGt5QByZIQYhywIJRsRBEoWqhCv7iDBQlJbtKgSh/R+iCD66QBATIkpZIu4MFYpawMt7hCu15Zljy2IUtHAGIEnTrD41whB68Zwhckh0YLFBNuMnhDTD161+1Oa1qVStw45xQOClpvXR2TVFgOMMaKmCBDEw2AxawbAYqkAECGIEI+8ERPz24yhEtwAJWwENWUZOoWQppCAG7wA6pOiMvpOg43lMRHvKwhz3k4Q/v9K0agUCkLXlweLus0Zj+1ugxwC6XudCbHk3FCd3oGrZ7gyUKEbzQ04SNwSIFOEADFgCUY3q3AQ0wgFv24xkvwOEA/jwTiMiAgAziQQuwRNiITFXLIdjhVQmTkRze1hkg9MB1obzDHw6sBQRvIQhj6p/E3gVCveqgC39o7oUxfLeSqYzDHb4hDtV5P6xFJSoR+UJbupDeG0H1vrRCQxo856QvNGAAdvjDG55iMFN5gQhUoIPcrgYGCNjhbe/pMQ+MkGQJGkGCSpCgA+FghCf8UV1MCO00/UimPWSYy12OFp3MST0xGy7MZE5ZhLCr3VWOqkeskU0BCMBjg1ChcySaGBrcgIaYoQE8Mm4AEwT+geP7isdU8+vP0hSlGgZc4A49CO5B9nmEAWR0AhWAgATUgFGPXloAR9ANDsr0TxCB8ApgwUMgvJxqVcNpDxYCZ4dV9sLFxsaf5KJqH1NcEFD3M0RoQoMf2rBAEKFBzxfwAx8KNmoGALi1dtUXsCrQ6LC8R0UoQQAD7tMQj9CnIQgIAAvI1mMm+BS+1ITPlledbnUvCELZA1T1+ITYG55ZIIsV9aF2aGdK7SvOKu6fKvuMJgcIog9q8IiovxAGPqwBDBQj9KkebIBCwRdNX6gAHuYaFiKlMgDJQpPVZJMaMSigAEmoAhaHe9eTDmEPqF73y2HemEVKcpKvPtxhV1b+lEGRm1RegtJqoARnVL0HigVwF6XG4IA6KLQBE/daAtLgBqahaQHMrqsBZKewCugh47qG4ha3O56S87jZAAwPrcgAhuJRIeZtdzti8EAt7Vkr55E8ZyMNIigBwDZcIJEISJ4CkZYsoC3z+1dr4dAA3pFBDLjBgxwusMUEkgHGiR5D6kpCBCwYAOR9Bs8XJqCFsmFmB1wwgrA9ryjhJCGiQNhC2u6aV5e/nfa178uGWybv6u2ecK4uSOL4PjM0mAECE4BARzc6AQlcQABGaPCjVZT4RDEeAlno5Bsa0HAevqjXdBxgZ7PwAAXAF0RlqINx7FR6OACAKosbngKTwGP+UDu7sS1oqe3xn3+Z8p7ueCfsuxGr3nIo2UYkDNYgDhzoh+BAASXoCOLKBTYHCHZAXaSmV3oNDB4gC3yACrDAAhiA76SKjuRgfqpACyZAAfgs9cDjAOAAD3wg/YgACR7AANBADCxoURqA9f5oS9RmeMRgDmYv/4Tw7SKj9wKw95DQprSHCLZAh64mkwRBC6RwCqWwCq5gC7BwoCTqIKDI7EJEDCBACnyACK5AY2DLn9AEocjQAhAA7b4mA6ppP87KB3iABVpACfLsBkFkAYzgbbzAyu6nDfJgCAnx7XBPCWkuM6hHCT9MB4APf8LADzaJk7gADyiRC7rAEkspxdj+wzqgiKHCQ8g0EPwwAOxWKQ0HiHW8gAViSd8+Tw3kAA+IQDLyiAh8IAvqQBD4oAykig/DBAjKEMh6rQ/WpBCNMebaDd4KZ7DerXDoDQjyQHHwxwH64Lc+CQ+8wJ48qQvsyZf+aFWMoFcSRUY0kCyG6VWyrtcQatcMIPhqJgPsgF4yr6JODdjq4132JQm6oFheTxhBhA+K8RgFUt3ADBGT0O4Mkv++5wnXYA6gjAncSoIg0q0g8gjkigq6cOKoygGwoArOpgi0oAUS4Atq7ewUIBXPRgseoA3xccYwQA6sQJSE6Q7swA/cgBe3qwCMAFIiBtFAJA0CciCFUtXwgJH+ymmSDlL3uIUKorFgxOULyiDTzAfT0ud8qjLTJIAAeKCijgBABi3psEBVcMAosGAC2rAk32yAwIIIuIAFruzs9g0MHMCMhKgO5MAP3qACyuA7ykUnu6DBXi8MNJIN0uCEhvIwU23/YA0h567/BGIImnJc8A1yyqsyE+4LOAKOPsIqDEAo1qvpHC7p6sAjz6YK1qtL0vHhaumZtoRDug9NXONczqB9bsfg1EZ2VsMv/8hIfJIN8CwoETM4LwzMyKk4zcyFkJMohmDnVFBWsIY2PMQ1rMIFvOAz32tEymAJ3oI17aCYLkVmxoBfcg0HfKAtRWWH0AQ2QeJcwgANBJP+L0PuUBaARnaQ/tjADfxAOPUzw2YOuoyTMY0TnPJoQ0pKtAzmaxpAOrignyqlUsag+sbwmcjiCuDAAc7S4fALJfOIC5igAhoAAbpvjLhrxD6iXNrs8oygRlrHymyQDdogP/czRpkrEFotWxJRuuhuMwjCKCIgltyQd2IDBJnkXBSUXZojPSsFAjpyTGxivxZqPBJGODrSs/KIny4AcvRtqn6FcdxsZmiECKDJriiPGGW0TJerE5OzzOwuQB9pB3iUuDwvPQ8l5BClTmfmJ5hACxa0AFoUScXgAJgKTzASDiDgSMUFUwpAO//lmToJDiKvRAOOXNZmRB5HMFkjAeD+4Ap2oDyRQHj4oJDMNFRdSrCmq7rC6VStayDyyAsiIABuxkVehMRI9COwxiqQAKLWb1Rgg7sUwACywCjhwg6UYAG2isRoNQFGwl8wo7Nez1XOc9DEI+RgE2sOYA3WgAFsJgFmwgeKgArigPPSQLlEdVy5qSgT8v9yKvfUNI+ugALQgsTCAJngyGZM7DkuEyTC6yqsar14omqOSTgM4AGkoFMsI0f8AGbCYC0iQiK0xryOoFsPQlV77A8x4AIcoOmewjdwZmHF4CEsgkrqYA4eoAGsIgD6kDROwgDUwDDJtWW3qYXSVCljaMw2wxZZQAAu6gLMAH3UQKMyCn2Sb6P+cjaj2OcCBmAJ1kPSMIrSlC8CCKAHiKBYPMUR9wsOcHb5Lmr5elYABEAo9oQ1t8AKjkAJ2gcCDqAAGEIlLqIAYgICMguI9MAOLGAABIBuUUSf4gMD5uD+XLZvD2nDUJW63K2wLgM+XMAiITKIgChx2yqI4gAJlggikSgOjoAJjiAKHG0IeuBwFddxLXd1ggtj6s112OoIKJdxg0iuVidi0w8jt8AOLPcNWsCyKkBoI8sCWgAOkCALmIoKrkAKEPcIeMDBqGAL8oBv/TZ5VaggF7N5J2MIsNAKrvAKsbAKtkCtruAK8El7fcAKvSB7SxCrrmB1XQ8Ltfd7tyB7QTf+dB9NB4rAeq2XetVqC7wgbJNx2lQVYFQke7WAqByXiYBoCbBACrSAW/0Fi3zXeh3NILoAeZX3gaEnEALB/5QxXY/wrCwDkIpgg3vMX+bHlD54Fje4CDqYPUZY7siEPUoChCEkdItlUW+kW2X4g7s187IlB3KgtTYYn+7JC6qgC3ypC9bDhP8FB3JYhv8lLICg5SC4iVGIgPTk5mDthieqfaUWY6ZWLHC4dErH0c5mdTC4IMTCiKnMiFk3iTO4iu3lILJlAm8ECDqrs65oC74RPgyvfafNU8YEh3UAD5z4j6NnprSHTQlZXWsLhr3HINDYtiBNe6ZWkc04CB4JNB7+2TIexiYqmTrMZgLVRUz8xcHE5NG0eEK6AJBN2XmY15yc10LcA+8W+T3+5F9g+NX+xFNs1AhvWSD4h3wVWePEWNc6w5SC8JSJWWTibpVjbSDcI73wZGqro5W9R4tZ50YO68zEQooNopXNhhnR9ZzOik9sGU/gw4+LuZxFhkaReYp1uTEzwz3cI5PXeZB1+ZoVcSyuBZoRsRHPVULd99TM+Z9BBnBLtZB1CoYIQg7PNaElaRHD2Peii5tHA5sBhSD8GaAtOlrqhaBjNv04uhlzOQkZup6NEAA5A6dwrih8bwe6YJgvuqXjhFQ1mpC/WUJ31P9oOoqr+ZsNgpFiqAj+bAhwskencerDgJVCNpilXTqp3cRc7Xmj2fSh4Y2fwzik706ed0+nee/Mbu5ObNSnWeZhgICclXqs36RkinqVhbqkaUpHx4IWDVqc7uSs89d9/6ahNSOmqwunw/iJkJqs/VpB9k+tZzp/B7uwFxql2ZqGhNqe3TrM+PmSKeNwaHqqUwZlCuump1pVCWKl/7qz2USgnTo51Rpdr0f3AheuMxuz83qt5TmoawiDO+OSOduzaZtB+jOSjJIoeLqq3Tq1KzgAUdWbkTP9pFqnODrehnu3iwDdaru5E4Spaxq6aLGRGvun4fqS+fnuYHtwVbukTdqFsDq8FdtNh1u3mdj+udHbQGSKp0fbtR2bru05tjObuOdtuxfbui94rk16sgl7oPu7W9M7wNWbWpB7EfX7rgfZvfHO3SCae2B7wRlRsxdxul9ohqigrwU8ww1DoBkcqj3aVI+zplJVq2vut+HbRmm55i5cw1mcMUhVlcdsoxtcu0dan6V4cE+aq+eatEmcCs67xYH8MIpQr0G6tW+UcL7brmE8n4/7sBFcov2mCMQ6yKm8MASZZj18v8t7tat6tQ1LxGncw/37Myq6ys1cMFI5nRtTzQ8SmT/6QnT7zOV8MA5xxvkvnZPcoU9GlfvkzQEGw+c80F+czQk9sdTcz1XGxwN90QFj0P1TXa/+5T9vWZ8nOk0dU01B3DKoYMoZvdP1gqkLPdTbXNRhrcw9/dQLAYVJfdVZHdZmG9VhHWZbfdZpnULYDtZxvRAUs9Z5ndeLANBzfc75pteJvdU3PdiDfciLfdnZXMqBHdmFndmlPZ1fHdpxHQ9eedq13UJM3dphvc63PdwnZMW9HdnBXdzR3X2fvdwXfdjTPd2Pnd2t/bbffds5Xd6DPRCyPbH+k8bxuqAPu5Ap5MfxHdqPud/3HNGb97uTeYa6veCRHdSRPLQf/d+Hm8gFXtMhXt5xz7gTntQRnsMsfN033tPP3d8vvuJDm+EnPuN3mrlLvtwP0cD3vNVZvs/thNz+Y57jVb3eRX25dx7iHd3nQ53gg57dh57o0/mJjr7kj1npCV3nm77glR3qV/nhp17eW83qr57ksz7YZZ3rOezCvf7rcX29xZ7Dfr3szf7soTjtL0TK2/7oTx7u5+ze537jd93uLRnm837n05zvnf3vp77q+R7rCb/kk57rbz3xs37xlR7xHT/mIb/eJX/yS55G5frdu8DvMX/qa4nY8XrtP3/uZ8ri8brDfr30//6bVv71/13RWT/vzbrWCVr2Z5/2YRb1ZbxPNp3tc7/g6WTfiV3ugz/xA3/Z8f74277ua934md/x977XBz/6J3/6aZ2vrf/z6Z3WL3/7277yC/3++8G/+Xs+1Je//BPf3Uld+9V/9sW/ed3//eF/850XDzyf/j9/D4h/MaVe/wGikMCBBAsaPIgwocKFDBs6fAgxosSJFCEGoqIjo8aNHDty7FIxpMiRJEuaPIkypcqVLFu6fAlxD0aPND0W6RIIps6dPHv6/Ak0qNChCgNdrIlUI06iTJs6fQo1qtSpB/cUSVoTzx6qXLt6/Qo2LFU8QLB2pJJTrNq1bNu6fZvw6I6Mc3XUvZuxCNy9fPv6/dtT5tzBdAtnxJMWsOLFjBs7JijTrmG8Wh9bvow5s1erSLts1Qw6tOjRLyPbTEw6terVrBce5UiltezZtFPvwaOxCNr+2rx7+15suvLv4cSLi70o3Ljy5cybO38OPbr06dSrW7+OPbv27dy7e/8OPrz48eTLmz+PPr369ezbu38PP778+fTr27+PP7/+/fz7+/8PYIACDkhggQYeiGCCCi7IYIMOPghhhBJOSGGFFl6IYYYabshhhx5+CGKIIo5IYokmnohiiiquyGKLLr4IY4wyzkhjjTbeiGOOOu7IY48+/ghkkEIOSWSRRh6JZJJKLslkk04+CWWUUk5JZZVWXollllpuyWWXXn4JZphijklmmWaeiWaaaq7JZptuvglnnHLOSWeddt6JZ5567slnn37+CWiggg5KaKGGHopoooouymgyo44+Cmmkkk5KaaWWXopppppuymmnnn4Kaqiijkpqqaaeimqqqq7KaquuvgprrLI+GRAAOw==</t>
  </si>
  <si>
    <t>R0lGODlh9AH0AfcAAAsjPRkkNkBLKlVZKWp0PBs3SQohWgwrXxgtXCk8Ric7XRUhawggdAsseBYtdRE3dCQpazY+bzxLSjpTTytIZjlLZThVbEdWTUZMXkphT1xnR0pkZFtoYml3ZHZ9aGl5e7YsBKQwBKA5BLY3BMcsBtYsEJ9DBLZDBKRSBLhuBLp/BMhDCOFBHchgBtZuEOh6HtBiMOVwIfhgOHaBRnaEa7+1PMiTBteGEueGHemUGfWHKfiFP/ilLfq0MfXRFvzeFOzkENvbI9DEMtjOOtvZPfbbLPvDM/vPMevjMezvNo+STq6nRrKzVIKRab24Z6OxeLG1e/ujSfy0TsXCUPPlT+LkUsPDb9jPatraa8fNccvYc+bSceDub/PnbOLkcQggjQ0sjx0vkA83lQovrQs3riJHm0ZMhF11lG52knJ+mkRhoyFKz0Zr2Vh61H6Uo3mSvG+G2mSK3IKUgpCigr24hKCon5ayrpy9v7rMi8vOjODdjPzwl9T2tIGV2YGl55ep7LLA6/z50s/Z5efq9vz+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H5BAQKAAAALAAAAAD0AfQBAAj+AAkJHEiwoMGDCBMqXMiwocOHECNKnEixosWLGDNq3Mixo8ePIEOKHEmypMmTKFOqXMmypcuXMGPKnEmzps2bOHPq3Mmzp8+fQIMKHUq0qNGjSJMqXcq0qdOnUKNKnUq1qtWrWLNq3cq1q9evYMOKHUu2rNmzaNOqXcu2rdu3cOPKnUu3rt27ePPq3cu3r9+/gAMLHky4sOHDiBMrXsy4sePHkCNLnky5suXLmDNr3sy5s+fPoEOLHk26tOnTqFOrXs26tevXsGPLnk27tu3buHPr3s27t+/fwIMLH068uPHjyJMrX868ufPn0KNLn069uvXr2LNr3869u/fv4MP+ix9Pvrz58+jTq1/Pvr379/Djy59Pv779+/jz69/Pv7///wAGKOCABBZo4IEI1hbIgoHs4WAXVERIRRE/VPgDhRJG2EUXDu7BYFwMNvgghBEWQYWFFZoo4YYdfpjgTAx2SKKJF6Jo440Wnpghix4uaNaCMpZ4IoU4FpnjDzu26OOLJwHpYIZGRikliisq6ZWTe8w45ZZGashhj4Ew+VGIWULI5ZlnaggmVk5GiOabU0booItiXuQkkXDmmWaPVImIp56ARknFnHVOJOKJgSaKJodhNuXgn4pGWqSJDhbKUIMkSqrpllQwehSQbm4qKo5JdFqppQS1OSUQo97I6g/+r746ZamMNgrUgpm2quuNpRJaKJBdRBlrhazKSiysyBab7LLKNnsssstyWatPoPJ6rLLMZuvsttp2iy2nc9p6IK6I4mgsisOeG6m6FgKB7bA3DiouTlnuqquzUso77h7l2msvu0VyeFOD/fpr8JSeBhiImaICrKfDgJoKY72QFgnxwZrKOS9+uDIMKMT4vnlxotO2RC7GeXLL5chIlnwfwRWjvCXLFqOp70oEf+yvw9zKSnOOCdOXs6LfrgytkT+vymkXG5PEr8wiQ22hh/MNnXK7uyY9KtMmBRKzzj13i7TU8e7xHqZfkx3t0WpXeDNIC7dtY9Fa72oi002Pd7L+3FLWbe/bHGFaMN/PEn6jy+RZbfjiWwoc+NOMRy6l44kPLvnlNlKxJEYNYu45jp3mrV3nn5d+uOgOKW566YBvx2/aq1/e+kMLWx6755Rnp/rtps9+6YS88x60dXEHbzzVtAdrfPDIU7f78qs3v1C90AfP9XSBAF+98YMytAfs2+OO+nFeoxy23656q77K6AtqNkLFj3r+2nDOP3/boTv3/KZFC7u++ln7H9vcd5D9BUpr9ssW0f53Pz3xSTmYMhq04HUuugnwgAzMYP/GJrZzdS9VezDXmSg4wQxeLYFhW2ACcYQ35UDuWs/yWQxn+K139U2DCuQfDgeItQEm4X3+hCBdD3EIr8LNjIiSQiEA09XBo2kuObYr4dFIKMVoKbGESsziBbF2P/bB0G1mi18VG0hDGHYRiVrEVxqnaMT0GctYQByOGJvIRikysY1iq2LU1khG/zWxiD9U3hdlWDM1YnGLaOIj/epnRTpy64fEqV34JlmkKFJye77TjRAZeclOepJwDvvgb0J4tU+a8pSREyVvBJlIVC4Oga5kHLtUiZtNSjCWuMyl1DQ3vte88Ii6DKYwD3a928zRj8PkXfuSaS/pzeaYzIymNDEWR9lAs2bTLN0ys6mrTtXme9zc3jbD+bdquqZ8tySnOtcZMGuSkp3wjCeczLmad8rznvj+7FIvR/PLfPrzn8VUjS3/SVB80tM0/SyoQuEZ0NNkb4SL1OEVmahIGzKyoni8KBL3iMY83hCjKttUErpQT0sOEV0dTWH4xunGjWJwhffiYUYlulFCPjE12LRhyGgK0pR21KchPeFPjdbTnXqxqDnkZNGokBp7zg2lIkQqLDeYKEWuC6gzPeIKWdpSj8bUqkbcp2bmWEGUUlVTV3xqT186VJ6aUKNrVZpUZVpKGzkTNANtI8DmSldg8o2lb/zpMtPaKqpydWxaHOC5kiDWy+R1oZBdp6zu6pmEPjWymJ3mTUNzzaxm9rO5POhmHgra0q6zoZ1hJVRNy9pg0rIzJm3+rWxxKVrMWHa2uMXlZlOb294Os7aWia1vhxu+kX4mEMRNrit3qxmnKve5lGysYx4L3eoeT7qM6ax1txs97C4GndwNL++Yaxnqive8koPkZpyL3vZKbnOOVa1757s4yk6GtPTNr+FQS5nbqhWRZFsjUbEaVMgK+LDd9C5i2HtZiBLWfzCFq1e/SuBGcrHCc40w2DBc4dfel8EPE2qBJWxBrXJUw/3bqVz7KsKI6nDF7hKgRVmGYBZjDbjTlS8HqRjAVs7Ugiq1MI/TNzO6wbTEAERXBQkbY3YVy11NTvJ/1VXWZqkxymwLGQWDjC37Qka7J9VmITGo0TGX9cVRC3P+Ooe4V7TGVGmrVfMPvPwY6nFQnA5Oao2J/EU5GwywWVasGf3cZwiHuMWEdDKRySsZ/+55mjT+6+oeXdWIwtJC/I2MZSmNzzaXecViVqakPKxp4erXzdgUNaeR2SpSQwbEpz60idV21g3zOc0UZpV6LeOx56oYzjZes2HljL5aDzipcb71ZVdtLFc/RsfRXPV/fUxlYJs51XVtMJmLGOxkm7WMDR5ysmJsI+NeBtaxNOSfC21oJd8R224MKrmvvdMkDNrY9y6jk9tcbSwaOd9QDriKccwYaCeTZoDu9oWhOs6A37mU9vasjWIWZRJuMMWw2tYdn/zGJltZ4Blno67+SXoZg+NS3fA+NKAJGdWPHpLQLRe0p/um4osruoYX5njHE21Gh7Oc4IvptS6LyPIe4puT1lZ2i7/mcL3O2sU88+yvvf1vbiN6yYMMecWNBHTFmHzobFb4mpPu48uCb+bHBhmZH04sLA9a0ubm9TCtbmhpu3ubSSv6FEfmt30PdtlGz/bWMCN0YQ4ZwReD8riN5YMiNb7ILWa7rOw9739ZfFV5t5EPHv94I3Xe8VL6/A92XZmvQ3rqSWx72xWPos9z/geiD7zW6Y5Hjru4sOTuu6tijAQcNX7zsLdQ7KPU+d/7oAjFr9Hnu54YdEszVo8OLNHfNPxl43z3LWc9xrD+XATwTQpFvX8TpKpvpO4jv2bMX7D3o337q8p+zGC7vrKf3G36z5v8FvsWnmg/cSK9ClL0hyPgs3/lhzTO5hjO93zMtlqepngB+DPaF2cB6G3wZ2Vn0nlnVXmN9zUVQ4Agt3oV0nsUAi9FIHBHpX1FgATpdxj+xX7I1j61FnXpAn33Flg8pGi9l3j0o3F+Nmytdy3cVyM/KCxAkARJwHo69wNBoC05mHuqh2WygiEraBgtGE4WtXZ5BoUft3jzNoKS14RGdASP53MTKIEgt0Fj+INAUIJPRST4p1ZNxyyGZHtaOHsxRiQH2BhVyEwWeFVWF3ufR1Ul6ICzZ0av523+jRcywHd+a4N6QOAD74J6+VdDoqcsm/d7d+eEXLR1seKFaJcivcdokYFfdVSKLHeKYVc4qKiKqShTn9hSVHR4tTeE40aLx1cjNpdVbxSIyZaGayhywhd8j2h/t1YxY0iMMnc0jHiFOlghiZiGsOd/4IIZpLWKptiK1piN2NiK10Zsa3cunYcEOegDEZdxjAd+dNVxqcYq5geAxeaM8DiLQPh/NwJ8QIAEw6hnrPcnGEeLrAh8KNJ9QhiPlaRghQFmnaR2kTdRDGhW91gqEpIEQdB0mIiJ0jiEGFhtukYFI1Uilah1mAiPAPksl5h8wXeSmNhkw9d4SHA3pUJ5ITf+j7CygVqXIuYHiaxyiScZk8YnhsF3fBU5kqvHKpmmaTCnM9v4ZheofNrmV94CBBFSBV7gBVhQBRGCjxZyfp1HIzl4Ie1ofiC4k+6CBKVCBFuABVjQBQKZIuhCeV1ZIxQSl8aCfPtHJAJpl8RyhMXiekjSKWd5BRDSknaka0UokVhJbkVwBN2Hj0nQe/YWiE/WjkIpjtAikIn4A/g4iHQ2Xc51dNbGdxLnlGFGSO24cJGWbMUSBFTABVbwBEqgBHOwBFDABRBSghRyiyWYIUYIkRnSm0YYifdIBVjgBE8wB7DJBIBJBZsXZY0ZIR3Zm9DJkUOCBNGpItFJBZQ5N1D+WQVWsATGOQdOoAVEQAXEeI9kaYQcqZcxaX5UUAUvGYzUuZu8qZU5Ep/UOSSwUirU6Z7iuJkIWI6weI3IxnbflljsdjFHoJjVN326yEVV0AVQMAMZMAETcAEbQANPoAcTUnxAoJpmaZZYsAVEgJZnuQVnCaIiWgRHCC1BgARdkAVL0AEZIAEYgAEcoARb4AUTUiwtiQRDQJVagJYkaqJCGqRo6QVEUAVKmqRYoAdXYKJQKqRCmgVYIATY2ZZJ4AVL4AEcgAFmMAEbMANPEJiXySpIMKJaoAdVWQVEcJgpQgU/ipZB2qbIQgRmeQVCugVgSSxBUARYgKdYMATj2aH+LfmnQjoEeYiA5XJprKZHeid4giaAPVADIemZTTlBwjkHGkABDvAAD+AADhABF7AEV6A9UEadS/CaxikHSiAHruqqc9AErgqbSrAE5Bl+a9gFVkADG6AADtAAYtCpE9ABTtAF+GimVDAFqvqqriqrrCoHzgqtr2kFXMAErykHcwCr2Pqqsfqqr6mnnZipHBABENAAYOCpFJABc1CqyMejVOAEy/qatrqExVIEV7CsTfCabWoiqdqtrFqrXjCIa3ivrZqvtSqOSUAE1/qvSuAFU3gYx8RvkZdyhbWQLXUERqACKmAEFCeg8ggrwukEFwABDgAGYDAGXwAGYQABFwD+BWrZLkgQBFUwAAPgpWZws2bgpTVaATdrAWZQARhAAFjQlSaSB3KAARCQsmOwtGKAAArQAXnAkawSIUswAAKAARVgAT7Ls1vrsxbAtRWgAXPABUogABlAAT9rARTwtVrrszmbsxgwAFPgf/eIBUyQAQqwAF+wtGMABg1QABlAB1ugnLzXBUpgszcrADOwBW9JBUJgtTxbowRQA415BQQgADh7sxiwuOqJBFNwtTiruFUQBEmQBQNwATh7AQSQBwZpGGJkg1jXlPi2irE4Q9p2hc9yBDyAAijAAxNLoLLCklyABx2AAAwQBmNABnw7BmGwAB1gBcATY1IpAAGwANb+q7fm2gDZq70M4LcAMABYcCKsYpZ0YAbdm7zKy7cHQAFN4AUrWgSGmwAA0AAp273a+wXZywDmygAPcAAFMAd8MAMAUAD2a7LmmrJfUL8NsAABEABOgCjuQgVWULx7u7xkQAZf4AAfQAfGSizwOwPVq7cLYAAawLheSAU1IL8mywAAIAAPjARXQL0OwABfYL0GMADiaabc2cB6CwE37AXumQUJAAEQsABhEAAJoAete5CkFGn9dpL9ZneBNyz2yCpHcAMncAI5ADvWGGaQiARcQAMPoLJLe8Hpi7IF0AR6II1SKQEOgLzIu7xiMAZznLxL6wAaoAfh56JbwAELgL7+F8y3yvsABQAF2OmjXbAEBeAAZFDHZ1zGFkzIAEwABSAGYKC8gWzGywsGwZoAHJyXXdAEEHDJgmzGZBAGCCAHe0AEScCSXuABRby0YLAAJbyWmOkECWCyyOsACQC9VYAFF3AAkBwGX9DLVXCsVQAFBUDGZOAAHADE3JkADsC3EKAAgrDEhZGApbhal/ljSud0DMeNOXmMVNADLXACvRuXt5snRVAFeLABZCzIyzsGzkwH5IksSKAHFHCy8/zIjxwGGzC4ttkFdRABX6DJpby0B0ADQzu1cwABdTzPEs23YvC/fOABD2DBpvzITIsA9kwsErwBfzzR6esAG5AHVfD+KkiABTSAAHE8BgvAASbswVCgAI4MBhEAvUSgB25cxgcdBgpABwH7iF3wBMucvgDtBUjAnQrw0mCQAIOAzYTRmbbre6G5zoCHmmUXj2vIAy0wAijQA4zolNzWfcfnBU2gAP3cz2AAAe0bfkiiz/y81pi8vF+wAXpABMhHBXngx8jL0ZAsBhUABSldBFvw0IA90WVMBgVQB4LwARndzwi9yRBgz8JLAxHAz/68vArQBFxABCniBTQw0rIs02x4IVRQ03M9BgpgBTqqBxiw2ksbBk+ABRSimlAwxnwLBhxQlVSABxEwzxEQ1aMFwaJZOLxY1d+MdBR4LEeQAyJwAi3+INbs5op8BolFkAUZQNqLfcbKawAbkAWgDXv5PAGyvdiAvLwckAcjSAV0EAF6G8iKPQYI4NlLSAQPPd8kTQYPUAd88AGrjcmTvbyVfSKqeQUiDckWvLzgrQUpiJmiPc27LdOCeSFE4ARqfcZBTQU7Hdt2zLcOQAPGeny/jQCCzNtKXQV0oNbLewGDwBlxo2jeKHa/m9V1dGZn1i5FYAQuMAIn4AJG4IvrOCXdd+HSLNkc/QUK8ARUsIRxPQEkjb4fXtprXLc0AAF/rd99mwFYkAQm4gYQoOVTnrwQ4NhocN6mPNEeLZBFzeJavgYMoAAuu4RFINoNkL5kwNt6SiT+1FnT80wBeNCeW1ABl+zdYdABXGCbW0AHwqzeesydZTDPaCDVhLFJ/diQNS5DUUx2eXZ8PZDFWuyT9Sp8p/ksfirKso3nFowAiG7W+bzPEu3dmZznAa2cSXAFFzDS8q3gGg4FCUvQYS7mFlzmgwDg813XBG7I9/jK3L3g88zqXTAEFyLakX3BvL3GWVkEfi7ICoAHVbAFPE3KeA4GF6DHjdcFeCDMmAwGeE2dVpDhS/sFbvDio6XNqviItyduiKXcRMZ/5OYDz30CPt4DRtDcVneKKagHHAABiT3RDjABWlAFqB3uii3rF9wAAd19yawABw3Jqv7IB+DZVLAFdRD+7Prtz2Fg5uet5QgAvQdeARWs5crrAOU+BMdXBTTAyGWs5wK5hioO78qbAIHe4akOBhKgBcCT2giA7DLdnu8+z3VQWU/4gh5cZeAse7RLseusLEbwAiAg3dQ96pdq3W+aBwbd8BNdAHdwIsenB7ks7OjL7muMBF4wB6Sdyeh9xl+QARq6BUpg8sc+7I79ATFf8fNcyF6e2oAv7EG9BRCe85tM4VmZ2m6+tN0+uLB90Ls+BoU8JO4d2cn7BWqg1F5gBZG+vFHvGam4cVP/qDne742kZYFmLornA+b89TegmMFm9RVU50uw+DLvAE1wzN2nB+YN99Ye0HqtBx1w593+/eGb/wWA3gVEUPIRHfjoCwHzbuyBr+oFQAfiiAVKIOGxbsePDAFzoJbtPNon3tv+ZyLbzretPfKDfrIcXQBM3n1Kb/7XTp0rbsEAIYjQQIIFDR5EmFDhQoYNHT6EGFHiQSo/LAL5gRFjxosWOQLZaNEHSI4ePWosedKkyZAhP3ZU2XJlRpBAfBThMWLEiR5HisyE6fJlR6FI9NAwQGbMUqZNxyhVuubLBi9FihitAMbpVqZKwXDIU4QKlglglC4lcxat2qUL5nTBMgeBmKZpndp9SqZAHT4ftHa9m9duAShVjHZgwHYtVKdhOuxBgsQLDQdNv1bNeBMJHQVOKdD+oUJEDwatbMlAaNLFhw8qdCo/HQNmgx4kVaxEaLpm0ETevX3/Bh68YZckKYOypGkcZsmNLoWmbA4d+dDoxjVuPPJiBIkWRo4wB+o8pkqLkfVkWKCYK+ylFfIgsapHgtn162eLxUPhr3q0TsHQ8MILueiCKi3FCiTjgTkEoaGBrvASLEIEQCMiDwwSE+wstdgC4wLaJPPgr6e+wgK+8qiAggKnFMCDii22II09phrooAufUCygP9m8kMyKzpZaQw3hhiSySCOF22M8lIYi6ofVmjwOSiarWwmlJa9cjiWSjjCihRVGuMEIq5RTLjqZnKMijwTo44q/MSCgowux8pj+oD83mxIjAz226EIuxupjKwwOtOBijhxhg7AuwR6wo68HFN2qwDEKwMMLLHykzy7TZGwvC8OqSMNBtEj8CaOroPiRKQVAO2K0/Sy7YAsqWHOtKzDU4JEKPHBDC44jfwU2WGH3qIhK8IjaaLWfsjQWqCqpI49Z8p4jCacVvuTBJ2mzlE6ojapAFbD6nHLgiS3Eki9TTtfTkwov0ngg0UgRHeMLNbIQ0IE/DQwsLwUdrYs/tRCAwtI6FDBL0nmbUgAKKiRrEE8OZPVIrHC7YtFFV7kCo4IrqDgCxUdh+4ID2rzgjKk1+hC2ZZdf5q0i8KoTTyRtazbz2Om4zRlaZy/+AqmII3Q4YYQWeli22WenHKo2OSAQlykwvlgvDCW8uEmPCEpbl6s899TDrz+Z+oJqA9miAA8t5oi3TQ0fZFSQD0bub72zJsSii6cDhlTTtuagogov/LJs4jF/gO9itBSwQtaNufpsCx9QPtQuqpCgwgq62RAIZs8/B32gLqBcssqQjvDBCB9motLY58aLkvRoTzLVCBd0ikHMn4ogaTmcY8+oiMkQiPqLMiIIQ8SmwvDg3CI2HrspqmfU04srssrLKaqnT1SBJ/SYQ9+F21RgDoCjXmr6UQugI8A0oF5PfUUdmKELIiZ7bcSJZf6hiCqcUBHG8FCFF2Egfyt6go3+WnMAxpSMNlXYFVPYsJvQVdCCv9pDcX4WrWQdoQcq4EF4WPecZXFraWRiXUpG0r8etAAEJ8iBT1Y3O5lIi0pF2AIHRCU9B3DADWjgVWMMJ5oYLSZ99aoX1cAAAA1gAWWpUkvZwjBFs0GoXHyYAwTCgMTAKEYM5esLXbZSNjLGBgxgWEAA4qQHDhyQbFSUkV3AoAEv3C8N+SPDV86FhG85gW5PydjziriVB8jhXFvAAwLYMhskbMFHQPLVBSU5SeAEgn+ve90PuJQDFNjgcLBjkkdmSK3elS6UOlNJEXLwpRZka5QndJYpV2KUC7zmbA4wQx3ycAc0iOgsYMCAHoj+0CrsMSYtD0DmA6YIBgcooAAaEE2txhiBNKDBDFscmwPkoIenLWABEFhA2TKUvi94M41zGEQH/rgUMTwgAhCAJwQUMM8EJMAJXtDCNRXzBUFZMwyb6pAenBgiWxluWYkL4OIaR4XHKUoMHrBRF6BQAAhdTle8YsMfKLlRjkIkEKObTiaxw4MUmCAFn5wd04owQxPCsqUlYanQtDMCFxhBJC8VIQctYpU8ZEVDSqHANvegBztsrW5jwEBYGGrUppThDGfgQAc4MFWqakAJROjCEwzwoKWEAQ10yIMbzFBFqaVhD3UQgAQisFbcvG0pbI2ABASwBD2EyilOjSpV9Ur+AAIIQQ968GldSlYHQczBDGxiTwK2gAU9eAB+adFjRZDQPxSl6imfoUKaBukUMXRAD0eQaNuU4sCxPHIMbABER1W7WoQkCYU7c9IRbmACE6hATBtEVkpxWybdAqUIXQLBCnDgJCmlcLcscWQExPCnL1SADlzwQhf0sIEt1i0CjXuecvH0hjvgwbt0oAMewouHKUzBC3powmPtYi888GEPeSAcWxzoBCXMgAYeoMEbzLAVM6QhDTRoAg2UQIew2XIpauiuFRScBzooGAp0qAGf8qCAfzolAnX4ax7kwACuQMAKXtjCHRmjx/79xAdIUFxaWHSu0bgRNmIASxe2QAf+iqqFka0pw1P6QEHW9li1xFJSKE3VwhOc4AY+KeEplZPk4+oUpzvlQdFWEMInSyenJykCZ9QVm9lQYQhI6EIaqouXBOQhZFpTnoL+GiAqdMHNVehCZl3kgQUEDAzbJAKhnhBYssU4C0MAmyDOcJczCOIKWMDCFaSwhcaOuV6F5kIVMssnGUdXaF6wQmXOsj2TQXcPeEDYVtQYIA/QLY8Tm+xOK1sXxmlsPvVJamah8ADEXq4KdFDRGv7AYx/3epIftc5rNSmFoqEghiXMZHJMwqWbBBl4NBThEXKyAhZ8J9nHbRYQcBgutoihCVwYwg+CINEgnoUCUCACQzcLgTr+7EHSVhELEpIg5/t1oM5ve0ACgxCEKkwXQ2QzQx6IQ4UkdOG8dmWKGNKgBy602c2MJijJPsDw4mRWLFQQyw8y+wTiscUBc9gDEYJAhD1YgMNOYfdiPVBd/fFIJKdKKCBB87z5uKkCeJAxjaOIK8zRATeo9XXQf+1a3pZOaKs0mhRQuluM3IQHNrDpK5WGW0xaRLYhWEEMrN30pC2tlEyvQvhkZDwogLQIXcjDNRE4pwrIyC1dCAIsAd1GriY1CUEAAhW4IIekOCWphomM/46iPDBMHOPwweEWVt6VL3wAC3g31XKE1wTirYgOVYj7EPC3FQjMwVKUYY8eU92///3+kQwKyEO69VCW+jyg7OD6Y8l4ZJscw6FzQsd96DLobJOMRGgw+JILtFUqZSNnI1Y5QgpQwINm8z6nPaOdJldwghXoYKXVYqnxe/sSjDSyCS6+bhIwEgR1w4+dCFiCpOkEIQQADu8nREIeMsDytNBITiBBAhbqgADEjmFVVfgIdxEbqYEoPoI3HAI9plgAxxM/4voIU+GCJmAgy6gALUiC1QGCPjE/pgiDbTqKBhixDSiRVKuNJ4i508OudHGTj2s4KFAk9hBByeCMMPCD28u9G3wZS9oZb+kfKWgBnTi2kBKlVNKkKIOh1cHA5DgT45oWkdiIHiiaVjqC3umfi5j+oRWCCSZLoSTAAhpguaUAAzP4GI4ogivogABYgKlhpgCYA7HQAgvglzdZgi4YPaARCVrCozFogNSIu4wgAjpIAM6rFJN4HhogPA/ADFXzAg/YoTFYwMdrjpHoHR/oghloRC7TAioImtaIuaVggG2ajAlcg3oxGTq8OC54gnWiACtwES8oCze5swCZtcKhjcwpgzKwQRzUxWAJBNfKGRLKge1YAaR5JRRCCaGRrSLLgSSrmQ26toq5gRMgARfoCZgYJWSrocyApUaKOA7kgBIpj/xTggHAAAswxwu4gCXAHC2oE7xgwYexCpJINSCoENbrio/jH7Ggg80aAwcomKT+ER5GVAswmIFE3Cks8IADWkA9qAJtuwp5A4LJ8gGs6oBLLDyXGwld0Q//+IDPm8DRKrTocjMs4AMoKAP5YRwWmwAQXA8wOAPowoMD0JHLeaI2yMVdxEkjCQQmrJIjuB2jEZPssxLY+q0UGAEU6IHtGwqWKh1jEZoWIIER0AHUMZ2d6jpRosKUisgr4ABf6keI4p3u+wEhWIInKMs5MEshcMNXPIswADkvmDdJI7iKWKn4s8e8aLWTIIItuIAv7Mc60MSDWkRfAgNE/CQQEaP0+QA+kLQ4k7MkQLzn0SFykQPDmKH4w4CtcADP6kLxOQszAAQ8yIM8sALvsgO/ZBz+sSCL/nOKCSAUO6g8/SmR1oiAXcvJ2zySnWxCmfgtKdO673gWHhwpFDiB7sA2MnnG1fEg6psylFqSYmySrGQdKtCCDVCefpQDGwkJyKwCROvOOpKTVpmAPwkDN8gDLdCCKzg09RwCjCsCIgA1r6QAhnQSU9EDNOCepTgAwCmhgGSTPAJLvVzERvyCMxBNgXoRLNCCx0M8L8iA61SQLtA2ixAN63QKGkE0GhCtrtKrqToDNfDLCJi51UtMyMEDLoACPJoKHsE0ChAEXsPNGAUOkMItp5PGFYih7NNKmCoCFyBO4UOd0nmS2ZE6JkwdohkBGAjK/sHAmnASllqNZiP+iWa8CCTIAtLwuDpQjZXqH5CYtyRIArmEt3RxijZwgzmYAzmQAyWQgyVQgimwis3YyP6wANqwiYwwioR0igOozBICEcJERBMpj850CjN4AzVFVDmYAyVYgiAQGj24AJZkigJ4AsgUzK50igXwLC/oAPEZlSkKAy2CAGWSH//LA5VkzaY4ACgoSTcymdqgAzOQ0VlFEg2yMpu5gZ04Gi2ENlEyAhQ4ymzRLeCUJZ5ZidR5gRUggamsmKTpne9ARmRTwlhKAitox6ZwADo4lyosAryLjCDgI3BdKUbD0qYyAzOwgHPFgHWdKznBEcXQk9GDjy5YvP5wABqgw4oZzIH+BJAky1M3ukULqIBzNQN2nQFHpc5XbIoEGCDE658usLflCQMNkC49BQwp+oIzKtWnEFGNmYAS3YoGeAI+sINDeYqSKRG0ewNaZVnf0EHY2qkuGYEVeAFtCbZtUaUo9I4xEQqmRAmfTaGQMAIYIIETYD7sA5pqEZoe6AlnxZIquShJXQoIwAMT2R3EiYyInCyJpDmpTR8waAAGcAAG+KYAUAI5ARcFKFEy4ACMLI8uUAI3coAC9Ig/tZUaqcMiQMgDUgoxYKZyMqcAIID23IIrUFimSAAtAMAS8oIZMACWAwMEGABGSwOQHZe6Qb2QwYIL8MoLpQE9uIPYXApGqoL+PEitlkVdiSCOWNopYruWICQlZzkCnxQBI5tdnp2JInWpnumBa+EJmnAOpTUCHriBG0jKpG3KlaACAAJZ1JOZExOLecMc+JC3Ma25yx2DMFiAqzm7J6Aop+gAcOzSsxO7pmgAw6zbRTyg/3C5um0sA9Oe7K0XCBgAIpiTOrEMCdACInBYjZuBBDAnBzCAANCAK7hPvzyQu1CKVWGxCkhMefmKVnUKRvKCPLjJ1MXghACy4jsdHmAlpDGxoD1WTZLZFYgCKjCC4RVK06k6nsGIKFuBoymOY8zCI+CkFoAh1ElC3QKJ1kiA5k29i7i4wHFML8isJHjUVxsXpQjVt5D+tP3rNg8ARyQUiyfYQDJggA6oimXxT1spSN7R1w64zvpYgCbKrCxIAPmaAPo0MSReAgG4AHW9AAGYgRcRs8tNYFN1NTGSl6WQAEG4A5PlMtroAkEIhAxG5IXQQWrpn+zQie7gUphSjpiyYWlsgSgwgiiwARUgxt2Uzh3tnVwdgZrFxpnACRcKgRCwLd2ljtVBkTX5EwnQg1LxgSQQgizA5QVTsD/DITLF3jcxJOHhOA6hAfsdQipIRQ6h2MMBETwqzHx9uff9ZVLEgvdUk7Fb44bsCCqoASVYVEVVAkZtlW60m/XIXIaSgAeWl7S5g3V61S6A0USWZ4LwxSx5ypn+JeWfec4rNIIY2A4ZiIIbwGEUuIFRqgkz4cEdTb6iiQIuieSmezkim1mj6QEd1WeLyRG2qADxRQIiGEcN6FAOsCqMc5U7aQoIONsqIAIotowmwIIhFAsnsKx+bFs/3QJDvFs56U+EHOP4mRgs2IJrtozZmGHiuopDY7QX2QJJU188NmdWGQ07WYNRbAoKAIR2Hmo9YKhDnueupmcaPdblnNlldECI5uEi6N0SKAEZiIEiOwERSAFrQ05ndBa0Js4TkAIp4AEeqOjeExojuAEUAAEQiMqjsWgnQ+aMbgoPkciOHoB6ggDkgacISIAZcLVUNaJ+9Dy9tWL/uCoutoj+VRvIthXUZrYMAMnbo3Cx+LkPLEBj/2AkZLsKgnOzNnPPyQDBOHTqMYiAU1U3xFoDNliRO7gDmRwVEaQCrvZqr+7F2RGaaJxZpGmyVOIBElBrFmABndgJ4avPmkBCJ33GkhAaHCgyF4iCKHCBFnCBo7UZacPh7SgBoITSK9M4Fxw7PTkoLNCAAnAAMqIabyKAOAOsJcaLPaTDLZiDmQYDJaiCq7WJzOkMDZkjitmpySDMGgFjiwgCabYbttCTvcwCQR5k/mFSAyyxOMWcBuljvgGM1CRXX1qDNnAKBrADrG6K2egC5V7uria6lZjdH6Qp1cm23ktCn7TuEshuErj+lhaIoWN5aJi9qZ3iEhcomh3YgRj4Etu9wt9qa6yTgRUAgRSIOuLSUZeoYsVmigvgEasYiwFwgDHO4rwBLK5RYHfMzkbaP8/2gp3aiNb4Eaj4Cp0OHkJFi84SdJsQngR0mz7T6gpZE1qcFd7KvtpQcd3uFztBPfuNarVQgzgoUTBIA6xWi7bdAx3fcXkGtpVYWrfGAeCk6yf1iBYaASQngVpvgRjIgSU1FbEQmidrCeWUgi9ZASvfDls/XqvbgRbAOisPPldfHS2MxKyCAAiRvVKhzg1oG65CAyeik2mOjdRopCdwowXfAiF2yNtYi9ggbSG2cMsIVELk8HJmig3+yEQf9g+TIfEq7L0qnYx4sfRLh40EYMUXzw07OMlRaYM7IJARmQ1TP3V57nHikjbmlG7XccAo1bicJQEWqHUSkAEd4AHvQLL+MQKm9Q6XYh3ljAJlZQEZYAHCVuth5GLb2e7z/pIjG8Ir5CBk7jiyuRwnybMH3RC7cLx+a7uu0czNpoIskpEFlxNlg/AHIZVSSXRnxnBCbPdpno10s4ICIDx8f6XDvgjcjh7sJYMyY7HNKgNAyLH+UIM/WK4b1wOHf3hE1kHemaEjwIGZbQGbNdIS84nh1Q5lnVlc7wkZilniXe+Rd47DvtOhse6WHwEQoHUS4IGVuglOMpodyOv+IkOaT96Z7lWkKNKAWdY2hhJ6OzsDLOg3CziqeSGDBlACLsChOvDUpfi4cg/LEvO5utGjC8TTwTxtaK5wPTXp9DEZ/o1PidFqYYupuhIVkz4QF28oMrAAQFADp1gDP1j4peAAuq97RAZrq3OB4HKBYrEhkfABLukBHHABYTeaF+gB3WHSRuaB9z+BmuLVWHp2R6b1mQUIGCRIjMhx5EeRIzdGnIghRUqOES16FAFi8QfGjBiBaARCBQqCMSJFgrngpUiRH1S0cBhDxqXIl2DQeKmipwKYkTp1vhzzQIkXJEjqKNgJRkmVlBeLUKET4SVUMBxOIvnhA4kXDw5GkgH+06FLxY1F9NBosPPsyC8ctDC1oiDnSKknlWqsm7FI1pw90fIdkyDPlrEY4IosI+jMF51r+kAdiSYQociSJ1OubPky5syaN3Pu7Pkz6NCX91DJiKSIkRUjVuhIwtHuj9cYfaDOcWPFioErXOSgiJLj6yI9XKwAQQJFj4OxfcCWDRx1ixLSR7h4sWP1CB60j0Q5YQIFjyNSVFA/aFE27LsfQ+osqadqESR5OJjd2dWDFyp5cMLk2/MnF1QQMQcEZDR2VGCxWeRDU0UdyAEWVDD3A1YeENYVDUH5wNFVWT3Q11kbYIFEFVYkYNQGQcW24mwtrljEFmlsBWJfClhBBRX+egw2khiGvaHXSHEYOFIZboh2JJJJKrkkk00GUtpdPJyAG0XobbQihz8cwUMKJ4wwUAkt8GAESrEFAZwPR7zgZQkknBBecyzOFhwPLZBQAm45SNGdatodYYQOJ5ygghTiofBmfBfZBVxHH0Fg1AXvVUTFFRwQ1l4H+e0HpH8iITAHFkVgQVRMLoHRxBZIMMoUHR+2x8EWpb3mRVnteQCWRmPVSiNJIgplRQSXNjAVlFVldBF6RXThwQL98apTBFZssYWOl1IgiBthOMvGkCKtQUeT4Yo7LrnlZrZHSikdEdEKLZBp5bEapWkDCiLciacLRhxB13la5tDCl3iekEP+Ecy9NiG8Fx2hQ24rnHCDvlIIekIPafbQwgkoGLSuCSlQ5INr8sKLEVMgGWWBHkQgVIQWGcC11xhhdLCFTRdwddZeZDgghxdHVPFEAY11hWpYr1XhhIMwOTBVmRTSOqOpM6j4WhBZ1cfrFxm8h4Rbl4KRQX7xbhREVUAEQaEPy2rrLFcw72QjFYJdaoEgdhRV6hrdksHGIOb6/TfggWv2JMlHuHACCC8o15GcuaogQgjSlUDxEcxteB5HF48AwggCE3wl4wezqCYIxYmZkBQAn0AmoF+mcIR4Lphww74GL5feRkBs4cSJpY4hgRZVYDSEFxqs7azMXlArwaVul7r+wBxdENHFHAjAHAYNXaj64keuwiQVWCk5bSFXYNxqLEd4edCA82iBMcBJJUqwkxgmoXR27kIJRYRQEmZVoO/G8AUwDPALBmSbjWKlB+bthW54UMAX9rIGxfRBcBa8IAbFFYg9xAY6I8iOeawiNrsUgV4tYAFB3FWwjlhkYcU5AQxUs4LwiE+EoGuRRYRjpxKAgHYoiYJqVvenGIDgYbDjAQqQs8KMTGhCdtkQFZCWGB5RIA8qswoWLrA2A/UkDDTJEQaeNYYGAAAoygIazMhwqyGwCAlUeMLxXMIANMQKYVugAdTG4BWwyAYvH2AfWgwoyC8sAH5kswIFvCYBPYj+b0EYSUIVqNAFHOEoCF3owIx6QoYwKMABD3hAGCIQBi6ORAF5YMoCwbAXCuCBD4nsCxsAkcFZ0rKWnCENQqS0moo58UqiywgVeKCCGKygBCPQQeVYmDkXbK4FUYgBQwyyIRcpCAiWU5BwikkCMamEO6ppAexSV7rwGOEGHTvIvoxgg/Q4JzZRDFapwFDFKwbhChnQFhd74pUtKI+BPBEDGMIQUAc4AAIJUIL03hi0/pChA4xUlBufADUDMcADsbpLF2hwITBIzVgYqdqu2uaAMJCUpA9IAAGG4MYsJEAMO5FAHuJ2MCAM4QpZuOlNrzCFCgESKmU4wwc6EFQOoIH+W6QcgwLoIKBqccUCeBDEBi7FlTXAoW+2vCpWaxkIsKjpgy7oAZYQgruD8WAHMiyUDRECMh/kIIh6egFD4KSotOaKI+vq3AheQKaEvEA1LoAdEEHQAilsoTsaQ4m+cqCCHqApTgxyQgTOUgA8UIEjSNCDBh6VT5J8MQ9h3MlPN8CB0X5gtARYwmmqAAUFXI+OHkUI9dgTk4rOhWRY0OhOOqoRnsIstBzYAHAzoIEBKCEITMHCBKQaAaXKhkE1mAENohvdGSzhClv4gAOg8hI14CEPebCCd+nghjJ0awzLPUm1NOlUPcjIPt6SZVbjK1/BBQI1AlmB4m44wmOhLgr+JGgXRVjIHCOsSQQ3KJRZ36QcKzHKKtM8Ag6+NDB0HgGaI8DBnyI8Aoek7gQT2deWUoACIYDOmqGjghUkEEGdKAAPRKgIjAawgAgeFQwf8EIXUrmTNNABCj6GAhOg4IQlHAEJQfgIa3fCNNmQSA6PigkZFpAGXJGMVoAcyQy0lys9dOABMFODHZ7wBCjQgQ5OcEINanDkIuQhuTs5bx+7oIQERIACCoiABDCggSHowQMudclLNiAIL9SkCl7Qwx28vJflKhADE12vHCbKFT8IYr6WvvS4NtiD3CjYdulBGHP+pAOCKG5xYtWSlATVA31dh3IKclHCfmAEZkpECij++VMLimgQI8CgdDuQQqBEoAN91SaJRqimY7n2WZ0gAApgoc0WBhCA7JKyKzdenu/C4IY9FJoINcHRaRi02rNoIEJMVFYTGMCTBTSBj1XGbVxokJTXAMHbterJF84waEPzuwpVOBMSjpAHC0g1DM6uCnPGQoBpLwAMYIBAAAawhS6k4ckGEsMGuFCTJCQBCVzAg6JHAgHAgPFCVeRCHbyHN0BYFdMuf7lo9gDEXYYwfWGNlzWLIAVaG6SGYilnCB7Guhh4uGKvDl1dhDMl/O4LIZsuYnikoBoWRGEHLQjBYGGncxcY2DwjOxaltOgsB9QhbitTwgXOsFkyPOADk8z+wwVUOZIw1GEPVeg4FZIQt9MAIT5OudkYLnCF7SU8LzfbGZTefWWR6HY2Y/mAyr/wAS1woeP6E0oSUEIEPWxg8TGrAxdeE3A9cKDhAozZAjSwhT1glysN2MDWLEIiPCx0JMtd6o5EIgYL5EEPebibs+LQcpgTv/iaASIJ8hVCeW1kmrc7wsX+CycWFSyYuaYYYq+uwsbdsI9Swg0PUJIQHnww68hvgVmx3vPxC+pz/WoObSoF6JHs7CTMocIUoGCHMkDZ2hFaoFGAypm0E0acBh5EVmP8zo2cGxZwwBSNxKdUVnBYTfl8xWthhUbtheS9R3CghKr03RFwXsiJxAP+yEHmpUsVzIdUQQAH5BizcAXGjUjREAET1J5ItFiqMFVMVMAV6IEgqFjOkAHLGR8RFiFldMeFGQHCZEnCTEgRpNpE8ItaFYEOMMTr0EYPCMpfKQWD+RJGQJiXfFVK+ACBFYdercudrIAMMITiiB+BZUwUSOBcMQ6FYEEHqNJezESq+ECaHJogUECpkIEYXFsqdUsYgAoQhAyHyEYK4kQCKgAUEB5C5ME93QwEPEHiIQStyB1JyNtrPZ7KeQUWXFF6UIEX0EcCOkCGcAgSdMGmGMUH8JMHPJlLPACEiJ9VlIgNItWN5Ajz8AgPHpql5MwaDJ8RHiPxDUIMTd/tsNP+i9xVXjVdH8ma6vTcungJ7SBMnJgYGTLTCeSXlszaByGTEcTAnfzXCYihuiDRN+rL0bGTqGSgBkKIhCAEFXwcBQiNjemBfiybTMxB5SGLI8FHHpgBHsLEJVaBRzVFZL2NUlEfBcYEGGTIJ3pBl+nEFzjU2aRLmUwgAbCPJr0eFiQByXQBHgBi20wkFtxWs8TEsITKXXCNypmXFVTB5uWeSGCAdZEFJ5LBGvgBMgal8e0ADIQf7pSYCKFGhJ0AMmFJcGiOEgmHNxJMI9UFvYWFDkWT+ECfncyQeOyQ6fgGECCBEeCACSiY18GfNbViWZTXF5hBTK1MEmjBSWrSS9z+GBVswWB0C9lxwQf+AP4oBVN41vyJxM5ggXHRRhfQAS2W0kNyiK5cjR5l2fZYBVZcZFp4gB4Mgc1RSL943AxcmYGAgQVogbEEQRWQCk80AM/QSku6RAPMTJnsCxHQAUqORALciE3gJBhEwLRwQaRxBRtUmlAWp8vlwQ403c1136tlJaKwSPoUQUSkI+xsSRB9DPfBRsHoUhTGxpZ4yYelzr2IybFtT50YGLExTi+ZRhXMwUyaFx50gcF4HNDA4sQRZn84QPSoiviVhlCcCZtxgEvNIz8mZhc42VlEwCnlipWVD35UJOT1xwbyT0WoiqoMIBW05wHwxBhQQBZIiDX+AafnkUEDzIEWeMEHxNEDlFuuINkDgsFfEEFeVsCf5aQCtQqgrYHwGSePWtogSIHZPVFHTBMffmfRVWVGGM5Z2kB19hVDkMly0huWJEQOaCGUJgQOhCGZZOGdtEBTbo+aiAB47MsSxRrJUMEc3ObcRU98FAERcEETbKhODOIk6SVMvERfVt4kUZIb5V2OcAC1pYUZ4AEX8E+OocFrisQXVMAphQVCkMVETeRJaARIucpLfAEN8IEXJEEX6B3H5Z3eZegTyClXREAdSE8RGNoZ5BEJAiSKxtGwzNvKFAEUxJFfSIsv6kQYmMEV4MgB4mEs9aiwytcgKGeciA2Vaqn+z4nQxXiYrUEfCu2GseoX6PBVNDWdB00Y9E0JCyCT+FDBlqBACPgQE41VRlQBE6gpSWjmabgpZiXqGIiBQ2HbXoiBG+iBHijPtEzLSnoBEWBBVjBAAsZME3BBF1TBHtABwZ0FBuiBqenKRkmNz41FBwwoSZwBHmiBHmjBSnasF6xkF3ABE0imSIRBGtjd9OyHrY6BAzwBwMIbSUBIZaYqZO3EX1QBteDkGOjkEXzsBqibjhrjsA5tBm2QnHRhg/3JQgjdxNKGlJiACySEdaqGDjQNHaqnEWAM5RTME34TRXxn6RQKR+5cXMVHuWbnnDTFK+2EU3WBz3DBE2CArdr+2NvZjLOcgRvMgRLIQR3w7Rz87RIowRToQZyWlx6tBRckrhwAX1zAXg2hxNNUoJaJBYp+SLeogRvk7d/q7d82gd4ygRfgAavGTAXQgR7k2Bxk1058AQLgwcfC7OGOyEWcBhTMZAIolWDshE4KyCluRbASLfDSEuEca1glRNYKCjMab5pkqcaA66yRAAtkh/g4qpR6GlfWGkos7wiIgAqQqZSEbdygDg44jF4d3Xoei/NRyi/ejALcK6HpwQdA0E44wAfwYyH2RxlYQAWYQQT0bwRggAREwAQQlx6kbmEKkAXMQXfdQeedxR41DeSST1w0nmVyWY2+xO5RQAX0LwD+S8AE4JkAzIDvNSRGmmzv0cEZqNvqmpKhacWryG4HHQ0JiwSjKY/ORsAVHIEp4hEZUFrw/jAGGe0TNdhFWIzqJEe6QB+TGg5D+EbqrMYKBNiipIeRbuG+DEfQhR9KVOlqRIEO65wO5JqY7At6nG9dXIUeuNnNSMUT+N4cmAG86hEh8ofbMEADgIEDgMEC2PEBIEAAKIEePAECiMHAPsAGuIEcnAEEuc1E4sr0Rm6pUGYbNaizEJADzJgD3HEDMMAlS1xBuk+RuAEaCNRZfMEFmOZt5ZFajAh80OwDXMpfNBphgIEZxAoSYEETKIAawBcQ93LgBMKpWeXNpUkUMET+d4ajCqSAEWzaCShz9hVHvizRsTTXlUDYtaJTW3nYlVYpNEfBMudArwldMpGkuW6ZBlwNVHxBGHDAHKSBBdRoe+BletFIHgaAHCRskm0WGDSABZgBBZBsq1LZu3kNRfIXl70niITBApgBvqrBQepqBJgBSRnuGKTee2RFpK6FTCEEESDNm9GB8uhgTl5BfPwMBPSB0PqySo8LlKynlKYPoAjK9lmMsfHJX20HcfRQ7RxlXTCxgt2ahsVAkSFEFRbHCuAADriAQITAV0nj1w1pAdqhAdzMpSJABTzA6JYsXuaBP7VNGukEBNzzA1ns/A2QAySG8zwAJtZQ31EyTEj+rGzYWya5F1qwoO91AEiWsjrj006EQZbhLB5xRb71qomVDOMiFR4Ehg6+BA9SAWrSQQUQ50pPNrkMr34xijVVWAgw3YSEawpAxLUW6UKIQHiY8S9lRGpgr0pcTOl8jnHxQG7gCW7kxjYZxKk12NWeWxU0QaJ2CwHFDF/YWH7cL4f2n04sgBzoARZ0Xs7AxAHxBSudxm5htK3IqmXlxcC2T1pwQO/JwQFo9wO6jX72DHVL5FrU0GMddrSgEga8qBncCInkgZFQNn2PS/gIs5SixlSWCWo8zmfD1ZvwoX6bwPad7bFmoUTslUKMANbZWg49HQqRAAhMOGtAKU/v11X+bMEcBEAQajcspkwa84rbILcecIGA0jWIkKYVZJ4vlfe6qshs3PKueHhfc/eBOgA8sw2UsdgTxEqMLIAmgYHjakRtHnZSxc1ivyVJC4UP1reTN8keyCe1Msr1IsqDt4AI6EkKiKkSog7XQYxpY3hbJU6hGEEUXB3TVQQQ/Ik3EsQHrUAMBBgS0AbOTbkTcQ0C8J+BTJAYCbcrJpddus2Iy8HqebcYYeQGZIF0m4bhTbBfQiRmts9RxewVdAEUUECOC/qQ9AQFWEHPdAGilg+svFYUzaQCfOhY8MdIMGpJ70FKPzmsfwauoAdm55LqHBtJUmHG7AnAtABtJIQOHEr+DpjxsXYVCcRAFPC6TCNxBxnBvzDEm78AM+5Xbu+WHiQAPk06WuRMpuQIoAcijYR1F3hB7T5LzrweF5QJwnhBaCZgBygkf1nZwPLEpssEd3sBV49S26D4SDQsEYTgLCoZFrgIEbgFQ7WYjN7EpVTAFhRZF0BGrEe8aFi2MH9hlXoYGVurMp+5CKSAGxLdRBwrbltF1naOGhKlamgM7KzIafTADSRRM99ActzFFI9MsnRB6QEaRdvHkAyi8mABwdklryB3F2yBZ0kVzvjOAzTBHrBRXXhIf3DUo/ddh3zAn2n3wK4yzpZec/P8nYaBBuTHEVAckPMIhOwWuho5ZbH+2Q3TDBLsAcRLvNx3hhAT4GtcYzMbwZWfAA6Y+QmM662lTgi8QC899VOewDmuAAtMyQg4c1WiRg/YgAvcAA8kh6khJfEm5YFaHI3vuM/rhxrfKY0sAELlZQY8oI5rkqkowBNIeUfc0VbsRQeku4k5DV4HEI2oxRasZMDTc362G0rA/pyevVX03dGYuouBka7y6tjH/dw//+B0gTOmCRe34WlU6RjvgJdULZVGkzZebe2Pn2q0CW580IR1pF3BzjIbQXpeeLVjFGNukbnLccPfxKGPBNEX/QvqOF98wQTkAUBUKfLjRxEfBbt4cDCG4RgwHroUGfgDSBE9NMA0bEj+RmNHhxy0UPGiBIJHkxoVPKEisQsNBxwbcqiChOAPJFSgROiowAqVI3okZGxY4UqRPYEIJVW6lGlTp0+hRpU6lWpVq1exZtV6dU9Nr0BqHrkxYsSNI1R8HHERwsWRIzpWjNBhhIoUFyJa8DBYEyzYrzXT5lgBosQIEiNOnFDR48hBihSLHInsVvJEv38J9sXsN/IWM2FOhnb4ocsWPRWEiu6IQE7ELXNKqt7IgAOWiQQHFtniISNHMg+97P3ho4iXD6llMwSzAUsVKlYifFmTfMwXCT0leqHRgAxMMcwrFixCxEnshhGsbEGiB4NQMmKIdkG6lX59+/fx59efNRD+Fa98gUhrrBPmiiyKE0zIwSccDNtBCiMOPMEFI4a77D8LiRPrhBFYiAvBFHiQLDMgSCyoMrckeuzC/1ZU0UQ9PDCPut8+2KK09qhr6AAluqBiiylQy7GAObygCTfcYAQNpoe2GMiHg4pTKMcxyPiiNiSq2EKDBXIEgwM9BsKShgO6Y+g7LJKosAgq6FBAozB4Wgmo3rqbYItA5ttPzz357NNP+/ZI8yuw0nJhhBXmOsIIHE5oQQqfXiBMhiiicCGxHERkUVPxjkghsRdgOAEFFzBt7DESSXxSIuIAtDCzVze9rIguSAItOY7WcIA004KacowD5sACiSKw6IABmFT++wKDPKp4NTeLPLCVSjBmiOggKLGQMsffmEMCiS6aQEBIImkCQjsyvet2Iixz6igBKwQCaiMyLNAizz/xzVffffMLpIsLCVWLLB3c6qEFts7ywQUSSGBBhhfiSqGH3AqClSDHoIwsBRNgiCIHHG5gbC9USd5URc1M5svF7OjA4IuTuuPoCzLYYMiBM7ygQosJfB2jATmCI6KLOQDwzTcqPVoAjZxdRFLKJTsIzqviXJqSWy28RcIKCV6WjYEJsmgWLO240+jLYSHDScYx0HMOKDGo7E6Ne/mt2+678U5qj38BJMiIFhjW4UHBTsC0oBtIKKGEDi81YqLbLP4vMhX+TLBBCil66IE4x/oq2VUgkkBV5Rab9gsIb7PogMuN5mXoCzXgKCMMMD7wogo9ePYIWZN+ZrqKLCZwr8zdq4uARyQwfmw93pB+jwYujCQoCO0e8PWLDbagoiItjJWNDARo8CIIsJAge3eQ0D69CCfcRMkKIqiYk6Hu0qA77/vxz/++QLrqu4i/V0ACGUihUniRQhFo8gLDFCYujjpCTW7jKhYVgQcpsAEVjJCWa1GEZJoRXedKtCILSVBlRPACFBKwkPkdbX4MOAMgwhAGB6ChOVqwAHLiFjfijcEBrUFg+ZpwANYZrSFhMEMeVsKiisBoIWVqQAe4UCISla8D1Zv+kpfUk50nKAAMO3yTBJgwE9x4wQMNeBMHspgZItAhAshRAB7iFQFpscEO+rPjHfFolb1h5m+GgcEOXICCwjmuIjkIQcMOcwKzDISEKfuBEHiQlgcCZkQn4+BlRBe50b0KZRwMQhX4oAEE9GZ+GgEDAuYgiApAAAK14wLudKeaBfBIIkHoAh4SYCtkIesLqGySXzhnEzK+ZH4NeB4SOle+GQhxSgtAo0QQiAUOqHCFZWJIAKBYhQARBws0KAlHwgABNBqpIlRwQgJSA4YEwNE0AlAhGeAgiDzOk5705N/FHuMDIxiKYTBYAV5CVISK8OAEJAighKIgIs40bXSXedL+k46EGZVlcpOONBmqksAFKFjAACvcCBiciQc+YGABzrSdFgTQADB8AQwt7dpLq/MFlgZADk0iSBKw0IQIMCCHKwTDAzKgh4gMB58kmpUHDLBSnx2gA9o0XXFmAIAGvAymL8sIVb8QBgBooCjQpMIcghQzIjLgAlCoQhBwc4SEBGABYfiCAyAwgOwdZIpOCAAErGqABDhBTgKAgAO+YIY61JOwhc2fv1gksBIMRlSLfIzBELOCFuCgMgw1HelcRNdTkS6EsYLVZSV6SSBUwQtN4KJJFhCBOXABCwRIQAJmQAUkYGEABXgABSJw2weEYbcKCIMcgRuBBCghiafrghX+OAABHI5BDA+YwBOCMxHHjKgLMyhAbsvwANiKUXlVsC4FHpDdBygguxRQgG4pQAEERCAABKjMQaiQBQ8owIww6c4XGkCBJmBBe8MhDq0CoIAKCDgBBJCIrJwgAAUUoAwUKMAFrFCaLQwgARGIwB8GYVgNb5hf/etLYE4QQLJIzFR+u4EgJysyTYqwb5hkqEWV6NmK9i0JWEpdBRaQ1Rh+YQEYaELYqrAEAqRACeMhwgwI0AEldwANHfDAkpXcZDQ8mQBLmKQPbrKFJaAhAgfIqkMYUIAMrJYIyKwYI3FDBSF/YMlVbpZXqJAEISv5yUrmQAfuDGU8I9nKeznIcT/+oIAD1BcMDjiABGgQ4eiJR8gEYDOSVVCFh4IlCEIgAAE4wGYCKGEKnVEBATSQSvtxmNSlxo9/VHSEHCSGLIUrMUGOwAMb3CAHPTDCAzv52c960IMrhrGmct1IlXnrhDS4AHtZqQAf06ELSEjCEGowhSFIhApCyEIWrECHPFjhClawwra9HW4rTEHaq6JIlpfwAQywcgEISECowxY63EAON0JwgrfxgIcsXMFIEPVBEILABGzr2wrY9va1EV7wLDhBCMiDKBBEggcaZCABCEAABBSQgSbkoUglUlURhjCFgt+7BkUhVFqncAVtW8EJNWjSmlJuhT2YmuY1v0//KEL+nB4EcgQoCNmrD3KEzDFGMp3FbOQ6t9lfO1KCn3PkrLTsAQ7c2QNzuELOSFTjlfhn61gw4RbOQgWxj71JVKhCFZo9SaLOqttLeDIHPNAEJhAhCeMDpnDgjPbSnH1YybNJjfl+duf0SPD8PTsXuAtBoXnhCk/wgAbw7AEnXKFHyLuQt7pguywt+mLZMXuPVpKW7HjB5qU3/VUQm2oeuCAFOGBMMNNKmTDF+C8uVvrSNylsX9+eqGkrzRWcEPwrYKFISLB7EgRFVK2vSSI0GRYCf1Bj5Nd4uvOmQmlYfu8rVIELoePMdB1qk5vYRLYCJc7jyhk6mqwEgbIV+5q8hfz+hf4b81tQOR0m32zZGh0yN3H2+DFkOMQua9IkCSBqTWbu9BRwAZ2iP6Ym1motU1wFmuhqhEIL6QiiXEym+o7OYizQ9ijpYsBiTbqgBG0kCWYCCIJgWKToSTwogvjC+VAFeZxO7ErwBr2FgyomAz0wQDJjWNAGmgQKmgpiBA3iNvzDIC5rL2gwCEjwBsVuBX8gCK6FrtBqBe3OdEbQKyzPYnwgCbqAAcVwDPkH1XBDg/bCAE9uUChK2EgItHivAy9wxiQoY/oCmdZkJaQPmSCO/E5nUPpNimxC/GYwdCCHfArCW6qgzPzD+QaR95IuM9zv/dhPCMPjzCommEqEJpr+rw+fTyKOgAWjbxCbD5ka0XM6JzeQB60i8QsTcAxh8fQcEBNZrJIqsKhQRvdAcIR8AA4tSw4xEIJ+IM7ibBjZT+y0Lk0ocRL9IwmKkQvFbhj9D/mGxT8CJNiIkRL7cBC3cKJqQuvGrgRtBwo70cUsUPwocRSTgAglosaKwBmZz/2GsWI+p5yk8f1G8TKOIhb5sfTKMDM4MJPgMIRckP8s6RxLB9hcpJOabsVycRidkb/4q0euYAtIa/N0Qzd8hAhsJHuyxzmgr/3GLmfGMXvgZyXGh0Vugux8ZOw0sCLMj4PecQCJAAuuzdug4N64LT1sZCVYkN4eo/2coyWp4CT+D6z/inIlsocKDI8jz4KRggmBisA5iC/zVkKMIO4V+3ErSy31WqTXgi20dE8HMSvXNMnpaI+EkGAI7A0K3DInvY0O8C/4nIAOsi/b5JIOoAAvn8AKps0mhsAK3vItn6Auha8oNQnagg8K5DL4mOB9+DCizu367M8KnkAJmgDP7mzqnMwDlIAxe3L/BGohQc4xgw//9JIJhkAD19IJsiAnnYAxmSA2gy896G0EiWAKBlMv3VLatEcruTI4Oewg+aIXR5P2YA8tFTIhByUhQZD2UgbiCGAAJsACMuACNgADshMDLoADLgA7vxM7MeA6zcAMMMAMvnMAnGD9mGAANCD+PK3zOzfgOwmgJyKzQtRsAAbgO7mzPwdACNJEVgIECV7JCubAAy5AAhxMASBAhhZMARi0POFuCSIszlaxQiBjCgbgOi+AO8NzAGYgB21CQ/czOzk0PC+AAGpAICCoF5FAQ+XTAiwAA7hzAJaACvZROHV0w/YAKGcMxpST6WrvKzlL13Jv2LxAAADgAVSqpVTKAcJgARzAAQptSql0Shu0QVvKAQLACbROCQKASRtgTMfUARbgAQ4gAeag2QhyKmcgABBApWYHriAgAGrA+74iCbwgC56gAzAgAhbgAFaKqqpjUHlsASAgAsyABqAgCwbwOAmCCpigAAzATGWo0MD+oAAIYP8g7pwElUytFAyiVAE8wKYEKlXMCU4doEwLrU55ZNR2NFbxaBYR8sVsVaKec/c4KcZy9aI0BQmu4AKo1Iu65iTgRiMaIAGeYFi8YA4KoKVKiblmpgwO4ALyoAs8ziaqQAkKQIW6ptAKwAm4ADDKqQuyoAkmQNCo1CRiRiOyCuMuQAmyAE26kCLUjIvgJp0eQAOKhCDIQwGoqYuEAjQWQAKYLSQz8JxmpyNOqQlyVFYhdp4CZelq9Ud19WItSUjnEJMsQgKoqWc64gtSokmGBgF2qSOqpADkQFika7aUYAGWC06gQLYg6Pr6VAFgtljZ1ZpcR6YgoAI64An+EI8VCyLIdMIk9jW6hhEKTis0eskDwIQGcQMKRskjwEAB6gBWI3Zr88YrzdJiLaqR3HBXo5MOxfJV1gMDpAVmbuVqnSA75gBdcoiFxiAMLoDZoqd8Xna5xgABoIBv/PW4OKCNdLZYd4dn3RVOOsAKouhVtgAKIMCLGoAAcga+2uRYkcZqUyIi9mJNoCAA1hZpzIAOuLZ078groTOzbjVIi3Qsf01sN8kiLiB0RUNnWaduI4AOJKNZHwBxo5UhwAfrhgOIPlYj/Jb6yO8K5ivHQNYjMI4GHPUOzal3d0gMOEBpceJoVYM2riCJ/BWFTpZK0iDDTLd87+cf45Bswfb+Vo90DlNXY2fMR3Ckdqujfm1XORYgAHTXhOSgALwoZDHACTquIkrLPOxrDB7gbx/DlpTAt5IFU5VqbkNWAtZUCb/lCY6WeMSAX5EHCdZIuZIjAp6gCyBqaQsAZceADQDBfFm4awEX9zzQVsFSxjar1zZDfXf1cyxifk9CptzqUHNMpsb0AA6AlQLAyo7AC+qAmGTDAWhAD4bFCXNKlzKXh6BgHaktDy4gqZw2DCjADDaAA8pTeIiHxxY3RW7iCaqneq83RXCifWTDbrPnYt6YeNagD+SphfW4bgIBh3eROHnVSB8SSGW4Fi/rMtKWb6tDDSxgAzbADMSYAxx5A9T+IAMm2Qz0EztKdod8FwwwwKzQiliaYHXoNoE5d1actaPmFibeagPkYA7qgA7qQA44gIsOuIgYIAJuVKBma4uM9XpXAuLoYG1C47cqmIChwIpKSYX3uJn5hW9sGIYbimwrln2HFHZvz3QSOTTewA7mgAliGQrqoA7E+Qnq4AnQGZ2XYAuGcWh693aruCFaKXsqogqa4J2qGAzMCnl0RgMMQElYiCMQ4APmYAs60jTqoIpSQ6x+owA8IJjTeI11hwM49weqoE1uZQwWgKuAcAvoQJkbAhDI15lJ2k/8JfnM0ZpjmDkfMixVun0/kAv14AJIqSPEwA74gAteSQ94uqf+fVoPqlJ7fKBZTVYjwrchviAC/haBSouZPMKUh6ULtqiLjLohGoADoECofMIGvYAONgBmHaC5mHSsA2AAyux0qgAKaFc5gJk42ISYb7dMwmC4iqQ4IBdZ1oANSnqv/2QPrBGHa9hIM3aQW3qlla5XC7t01oOmYeYOclqn9YAP9iCnJ1sP9kAPdFq2kOkm5uCdf7enGmIBPIC/pnKUP9tn6ID9EgKuXYcCoAt6aKIy4mcJaJRGZfS2M0AACKAXKSKtv8kk2pgmLlp7q0msmmcBIIwLDJoO1paZ+fq59eSenHOw01LXfPEcB3n3BhKwM3Cma1ojysAN8g0K8CAvBRP+D2ITD6AAa3KwF4n6gK2JiM5jCbqgJoPoJBzgb4dlC6bpf61XD2aCaDOwC65gCcZ5CWB5Dp5gDhh8CYZg3tTai6w3utZkmI3auOX7auVgD26HaRtiDeJgpKF7xG/uX2wYtA6ZulkakFH8sCExh6/53Lz7tMdADc5gA/AMDfLMzvBMA5bAqdKms6saZXfHATqA8nKqeOcngcsvDzjgfl1HAVqjzFZmVi57Dy47siObD3jaWsrJl333v9Eme4e8islgOqhkASwAD7xAidtoDNagDVaYxOn85lCamq1bxQmbxTEQu9PXpW0CCxhbwh8AARTg4iAAAR6gABCgAFjp3bz+xTJ4d5eIZ3fWgAESYAn2QAvkwKk7Ir8jgk3M4GV26AsogNmIYDSNagiI4Ap+ehD0QBB4msvBLjdwgno9YsLd2MMvnMYZ4gDkQLLnwIHX4A/q/NjrQ7qledlf930D+ehOZ8b/V6Z8eKWsPSO4lHIj6KuKupqoZA0Ot0rEKQ/4oGpMAtSHhY1mBnHfowKuNUXIpwimYAkwk8GbYA6U4JXnoAleWQmk4PnSWqKr+nrHvF3g+czL4H6X4wn4oA7chAwwDNklXisC4c4FeaVbvMUXUrC3myFrMXKSQNqbl4cIHoKqwFlPFldih9RzKKnrQBDcIIKNOr+3DnI/myPE4AL+9ICdWYUllmAAuLORJeA8zRMDJoBGbZSdIc6XUVjXyc/C2bUPRt0kxIAG+IAOFqIN8njiuV6PgNF9cc91wxbalah8Bj2ec8QBNKDZ+OKrmLinIgAQ0ODLymQNotQMYH65OALdqQCDf7dMxCCoHtwxWAJMBfUBED+GZmdMH8AAAoAGyi+tmwiFCQCKI9Xgf1cMAOENQpcjwKAC7gAQHGANRLrrTZ8qUHeaX0zj9fyGW7+iGlKTFts9rKZMEICDicoHNrnXI0AQ6uAzWN51wuAN4kDvyQDUxwNyO787vGQPhOBioGRoYDZmdDZmGmABmqBIggAnpCWg2/jym5ZhQ5/+A5ADJmboD8qgDU5//aeCVjV2bMcehpXTFz1w9pNFNE6JANSjJjj77ds1AgACjyAPEMKMGUPm4JovatocfIgwoQMoXZAgcZIA4kEyCb9s4DIEyI+RP4p0aQLhYUKNCMcgaFIFSZEqUFKuVDlGg5ciQIpQgRIB58MHd/jMgQAGJ5kvZfqoAUQoqtSpVKtavYo1q9atXLt6/Qo2rNixZMnuSUJS5A+1akm6Zet2JNy1ct/WpYu37d24fPW2RaLnQlKWD8GIEQMmcQMwixdDCECgSBGSJpWEudlyDAUne+iYSanxy5gymCOSmUhlppUEYiByfGhBD5G2QIB0mQPA4Mb+0gdfciFSZAsU3SzFcNAz+QcVOgoGa6TwhIsWDg2UjvkC50/Z7dy7e/8OPrx4sYH28I07V+9d9efxtkcPP+9e9yQBYxjMu4yF/fz5T8BwAQYDKHEEFT/4INNtEGCWkBgJZFGFHnMgAAaDmbkmER0VIYGHBNXt9toYZtxhoFy1VaFEAF+IthFhDjThhUw/KUDYQRzsNNJPETgHEQR3cMHFExSwCFEYfwgyXpJKLslkk05+FUiJ6b1HX3xTprXefFVSSZtbgAlWYxhp2CHHHGaeeWYdSyhRg2TJmXQUS2SIIQGEVFjRwYdCyclRA1BQYZEWEzSQEEeYhVEHF0GwBUT+EkwIoABphvL2YowzQeFAS5gZh9xkM/L4EARQVFGFFh0sUFobUD3JaquuvgqrVuVRKZ97V9LKXl9WZkmfSH/pgYFovIVhhyBaHHusdFVggcUWzlJRRRFIiBTcEhUSRkEWQSCBxRMVEBkRnxw9QJFkWBBAaIuZgZGGF6nVthYRU8xAgxttSHrTay+m5tMTNBaq0Y2S/VAFc6AeBAEeMdF0H5Fr/DFIrBJPTHHF33XBa660ZjzfrVpuvGVJWFygbpFF8QEkFyin3EXLXVDRRRVUGIjEbZlimwUSQVBxhQcLWCduA3R4ITINB7QY4nVmQLGHRbVZREQWeQjiRxl8jvH+YhfmQvFAyQeBcSMVPpQEBY2EIUBHFdtigRJEfURscdxyz013VFF+XOuVGuvannp68zpfEcDip1EERenBhR576KGHF114kfjjjbs7hLRexMkbBVNU0RMXQIFbY0vkag0EFXMU4JyhD4XBQR5bzGwRFV7sEQggZ/DWkgNKbCGZcGYXJ3COBruYNhA1W5GBbmvUzXzzzrN6Vnwg8+1xrVhOTz1JEZoB+upp1GEm+GrOIf4T4Zu/xBKSdWFZjQpYEW3petCwwLWhb+Sn1tJqIQEDuI8BBgWkgQ5YaFzL9JCHO7zBaqHTXReOUAQv1CR0HOACEtZCBSEdjAwI+JNIkMD+hQmBYQ2rep4JT4hCsswqe3kDHK74dr2/WU8vR9AD92r0hTWYwQwBwsAOzZABHpphAxcwAwYARIDNXa4ghIkA/ICwLS9YYQL++x9EOkg6EM6ga0p5DRgigIY5QAEKdKDDHerAgTAc7Iow8kFwJkgYsMVIJDT5nUo4qDAkIOhOGjADHJCUwkAKcpBWuVvIsMexKvkNkX1zy0y2YAbihGYMYViAAyCAyYJAwAGcdAAYPLmABQhgCbI7ikFKUwYrAOpEWJiDAr5gxYdMhHRAIAIeJkCkSXkRAhHYAAc4oAYORCAMkjxbE/Q3oxqRoYLTQsJPHlCo13DkAKPqiU+I8IT+NJSQkNzspgkDEQgs+You4ywnOVsoH3Oq85zrXGddqAWsn11onl8wSPc0sgAIMKEKCgIYRFIZP+NRIQ8c+FksXVIungTBCzOAwIpApLrEEDMMw6zn/Q6yL+BU4QkLmqeNuMA5INCEApraTQEUNhnJUAGB3mypS5kHTnbKtJ3nROci7ULTnKLnS0kBWNIuypIwQMAJQDqdaVRXAfhN5mmXiwAsY+mAtC01CFxwQhrBpcuHtOah99RIA+TgBYGWzTSu+ci0SncHszGoAE/oQk/GRoVAwO2ldK2rxAy5N5DJUKeMtBJTL5CpaJIVqBqhKBSKWgCIcoQCeJDJOKuQhw/+VMeKHITfBZk6h4JiVbA1WsP9wACjaW1UAYJdiXG8kITaJJMwJ42WD47wA9rZdba0bVUg0DLT3JrTplrqkk5pSs5GeSED6VpJNH8KVKHuM4QHEIMu56SALCQhOSOpmbcq5E+NFOBPyTFeEiRkhgVsdk84bIAkFwDWbY02XDcBmwVVO9bibJdfJQlEbe+L3ySVB7fp1G1N95rb/vLVVqXTQgYM0NWbiGbBXL3OdVYkKiyEMACgYsyDpvuWgabBAQt+CJHAEAAmYHgkQUhCFbbwhA5EQLxdhYhnD7IiCpzhDA8Aw4oMMIeYgNBf91yATqalHKAwwMOiyScUeLe+/Cr+ecndCQTGaopIACvynVHOG7cGUABPJgUManTAYbacmMQghstkFoNQebmEx80hAAX5ZAM4WQABTCEJY3MLEbrgGQSEwQGLITMYMJkAUpbknUnAAhQ8gIEI7OgLawRgmBvwAAqk4Q53kAAEFqCAACihIjtbQgI2GWYuP4YAFTkQFZwggE1O9Myj1FqB7MvkWMsaSiWi8m8TOaVx2sq/uk6P8YigBAH48IdGvECALDBEDGzAAhdgNrN5yOwLcAADBKiBu2owAB8CaD/GJsAQ9Hig+hQhD3IwtrGFWERjD6AGVEDLUtdiEWctgQbTxoACENCAxkD6AAcoQAEosAEazMH+ClzIAwE0IO0BLGE2PlmCBnxYxA0AiAMDOsIFJYNtYwPIiEdcNwTjOuuQixwr4MRtrv3L2xl</t>
  </si>
  <si>
    <t>SWcAynSEVarCEOjjhCTSvAxTqQPMn1AHnOc85FHr+BCakD8lCcMISbp5zmy/cTW6sjxeucHQxPiHmP1f6ENwyttqotgtbuMLPm0CDDnBgA8s2Ngc60AGBPyELWsCCF7BghfSlTwjJocIQjj5GNamJDktgN0/cuIUaMCHnTLh533lHhT2MfPGMt5t5+gp5vEX+PEe4whaIsAUsYP51l3fWFkgFeiwsi1nMKpUXeFeSIhzBWcuiQrOefnHYSibrSUAC6z3P9c9nfpX+db6eT96OBS1MYYw0n4PPpzAFIlQhCalVKRFOX7k3BcfzRGjWFk4PnNlL5vlVUH7pkWwSWDd+/LPGq+R3lXK/xPD8cFG/T9qNFtjNbP7KUU7tmY+EJECL+cw3kFpSMzP6N38GklJu4iX9p3/T1W6wA2QjQV0j4UY+wXzLxwWO4y7X9zIv025q4QNBIIEzA4F1ZiDTlYDvBygIciD5x3/4t4DKIX7kB4NMFj3wAVyR1yWNtFtU0ntF4AO+4gNjA4Spl3U9WARB4EYeaDwh04MRODA/KD0k4YSSAQQoiINE+AM6YxFIoFFu8n4l4YThFhd1Vmc8CIU4BYFrsShQVIT+0lIEiheDbyiDUnJI4sRrLddrLacrukaHF3Q9g8YXD8iFPdETWOd7axGFa0FdbbGDedhIhmhNXEiAKQVBZwiBeXUeSzWFVyIZMuGGcOiJ+OVkjJiDk6dXUGaGctGDDqgXDygXrOiHWTeHe1Fnlrh+sVgS1GI8BogXPCiG4aZr7/aEdAhlH/QDXfCCn4iMdhWKtEiKzdiI1CJTTUdOs4iK4faAi9R+vjhl5zGFawEv2OMr33gevWdOemSFv/iD2ViJlKEcnZiM70hX5VFrL5R+uOZCdhEyc9Fd09N7YKh+JiKLfYgec7ElvrVrvTKH8OJObNGP4fgepSNb8CiRdPX+eHqIjzDUW42Ijxpzg4zijYl0kTSojevhF+yRKwapjs4IOJcFkH1hicY4kTH5UrWmdTXJTloXXOWkkN5ok+G4kz7Zkx9piuc3lFzSijD0jwI5kEQZkqU4EvwleT7ZHjApk1XZTbeVkBqZkdzYV7Rhk1fYNyeJkUjpNyZnInp4hzh5gw/5lG35hMw4lmqRBMdolXWZQnvgfzdpa+nUftmYlh/5kwGWjzkpjveYk0yZFoVplKcIOBb5FhZplnSoHlAJZUnQBXaJmYK0XyuXU7emTp5Zh41iayX5A2bpW2pJTmjhmKIplH65FzvJmevEX6oplVAZmDpJme+Ek1SZmb3++U1PBprBGZrDaZGfKZdn6ZGsGZgAGZlp+ZmAKZKKuVsOaYcC9pVZsltz6Zvb+U1UIJzfSZzBdZC3CZhi2THQqZtnKZ7C+Zp7qZPiKBKqCZ066Z5oiRdzSZfcqZ9xE05uiXKSWZSM9Jcm942juJe79jeoKZXWM5zzGZ14KE53aJoB5pBJEJH7iaFzM4PnZJYE2qF1QZu0KZpaF6Le2KHFOVPxuZ4uSZ8OySjPqaAuqpDkGaM82Wuu6aKlqZs/yaOieaEZCqQVY0jDGJJJ2YwlOaOoyV99WZM0ypPo2ZLuWYc3uZwwOpo6CqLqOZmNqZ1B6qUVswdutZUgSZB/eZD+6ISlQhmlURmMtnmmKaly/TWUHame4PiPfhOf7vileworYYqjvGWmCEmh96iYwriQCLqRLKSOV+KmchqoAIaiIvmUesqnldoqG6qS55mpyQl5JslCzgiX9KipTdlIP2qpp+okociVMsSgeHOovQKfS6mXcFqkNAibd/hf9oirdJqrRoqS7rEHlIqqw6okdzOKCcpygpmopghcefWrdxqg0FqLN7Ws05moZro3eUqs2+okmIqYmQquWRmu5jk9jhmuD0oSpsqt6xoeeHmuLxSqAmqL7+qUR/qth2SZ7Kqv+vV49Eqq5hqgXDmWoriqAVtl/spIILevCwseK/Sguzr+pRsDsKwqsQYLsAXLmKVooPCKh+wRV/nJsCEbFuA0j/66sVrJsWu5qfMajDbIslRioSArsjPrFTGFsM4qsCsLoC8LqgZLr2qhrjQrtF/Rr+MKjjxrsj7LsvGKg84YtEMLtVuxmZwppWiKsFcrrzm7mChLil0atV9bs0+GtWNLtjnLtNuYqYkHtmvrFe5atm8Ltyp5trRimTLLtncrFUUbt3vLt3zLm3gLuIXUt4NLuGP7tIEbuKpauIvLuM34sYgLuVWhuI1LuZVLt8IauZAbppbLuZ3rFpibuZpbsp5LuoT7t6GLut5auimrtLfGcgPWtMJ5uKiLuA4LruCJu7b+WINXu7t9ZYx2S7uJK7ZOCpp7C7sPG56uW7DBmXjAG7yJ66bgKaW5q7yxq7QHKq/uBHmg+7yZ67b22re9S7Any55sWbzc273e6533WqvU26C0aK0H25W52lezm76RO7Wrq7/0err3+7y2u78B7Ixq678FPKQCjMCQZ6EFzMCEcMAJDMEgY78NrL4RbMG0cpkU3MDfe8EdPBITrMGZm78ebMEEHMIMDMAkjMAmfMIoPLoqvL8g3MKhO7kwrL/oO8PPu7k2fMPOm8PBy8E8zLn9+8MGrLpCzLgsXMQUnMJIXLgLvMQzLLZO/MQ+HMXd28RUHLc4fMX3G6xaPLgy3MX+3fu95SvA7Hm2RDzGGnzEFeu+b9ygB1u8arzGGtyfAMlX4tupycvHzTq97PS7dbzEmFq948vH74rG5fq4glzEWWyUJzt5cHyx5YpyUMzIS+zIYOyMlnzJmDzFmgyudNzJJ1zDoNyMYjzKLmzKKonKqczAQbzKjBTIrjzGsBzLIIOftLzGI3zLG8PJulzLL9zLfKHEwNzFmTzMpcnFxpzDXZCbyazMVszMLRwlrpjMrTzNIVzKw0wF2ZzK2xzL2OzNpPzJ4SzN45zDJTfMs4zOo2zLWpzL7ezKbQygkky/iEwX4CTPuuyueozPfRyxXrvPriyPHQvQZuzGwxmzAw3+zLYbv/aMjRGLPQvN0MbszMaLtOEZW+dc0VcMzh0szh2NyXrrwRks0tOMzAIc0ieNyR+t0svM0oz8wAksyjE9z8Ksv4ts097s0p4r0DvtzTscwAoL1O0s1KtbzEUd1M9sub+s1OhM0pyrz0890O/MuBxN1TfNuU6d1e1c0JRL0V3N0Cn9tnUr1icd1Xy70medyvRctmvN1qP81f78yHUI13Et12lthsd7uViN18bssNqrsXbt138N2Bc9Za7LjHdt2LSM2OxryL7C2I1N0CSN0O0x2ZRd2Qhr1pqt1GQNeTXt2R09084o2qMt0nq9vYWN2ugM2htz2q0t0q/9Hpn+LdvMTNt80QUwfduzXc7TE9u9zdK5vdHCjde8TCVEbdxsDdrBvdw2ndK7/dyN7dLOPd1AfcS2fd3y/NUkYd3bDdTdrd3gvc+zYpm8Td5Uvdusnd7t7d7vDd/xLd/zTd/1bd/3jd/5rd/7zd/97d//DeABLuADTuAFbuAHjuAJruALzuAN7uAPDuERLuETTuEVbuEXjuEZruEbzuEd7uEfDuIhLuIjTuIlbuInjuIpruIrzuIt7uIvDuMxLuMzTuM1buM3juM5ruM7zuM97uM/DuRBLuRDTuRFbuRHjuRJruRLzuRN7uRPDuVRLuVTTuVVbuVXjuVZruVbzuVLFhAAOw==</t>
  </si>
  <si>
    <t>FH3AmNP+ymSkgwlHi2JuUxvUpRakEKwc4raXmoRNKKOwhauIL8qKGEJvQseFrTQhZ4KtT4I5wo0Rz5MpYBXZiJvebBFKQUs3Gs+8YlWJSXeaz89E4782cnIFdYDLSSSlKJUIdLhpQUutFx/5k63298uG0ME4lUbqFsPgJBNDoQgcRsW9IQPjmIsQos69zamxaRNTtHRUkjkDGI+/Sloe3cui5j0QRSOsITMK2HzvpsDz5cAPp0XD/RKmMMc7mCEOSShClFgSBCi0DvQZ17zO3/CFaTg5Q+H9fL+T9i56Xd+hAsOIXJbNS8pU1mFJBABCSpD4wXSiIE4GEEJaX9mVHWi4h28/gm9V4IR7uB5JRwhChsdyParwPPNa17zfQKhVrYCyd7P3vRLMIIVZkyrIITU9E7IPPef4H/pZ3qiN3tKYAeCAHcJqICwYQgzsAEl8Dg5BAIcMG8VRhAPMUv1lIHOoh/ZAjgOZmkVJnkB9WhEF2jW4nCAUxD2BlDXwSIDMAEUIAEU8AAxKAETcAYCQAEUEIMT4IMWEAE8eAZDeAY8KABPoEJTcAQCUAE+OAEzSIMWQIMD0DPD52BQJjQC4INn4IQTIABQsEjz8QPORRFbUAVygAET4AD+bXIAH6IABUAAGzIoZ9BKcpBUOyUEPrA1zNMQdKKFPViEMSgAK1BTByEEUKCDXciDXTgARgAnCwY0iKiFMygBN+iFIQNfQSA0Q4iDP1iJMriIFMCFNgiFD0AIarOAqeh2gcAe8fQDQCACIOAC+LEtBxcRYsRwI9NUlLaCtQKCxJZFvDhLiYVFfwcumFZpDDEElhEAVaEAL8ESX/AYDMAAX1CN1bgA1Bgi1PgSDEAARzAFBEUEAaAAVREGVYGODFA9FKNa2vED+BIABUCNaDEiDRAAUJA9O3ADurQD+mMFSXABEUASCRCNpPElNoEWrOM6S3AF8LJI/yQFSuA/DJD+AAzwGFVBAANgIT62BHfCElWhjQmAFgaAATlhHggzBUYQj1+SjS9RAAFABHuhfV1QBAGQAIXxIQtwjuX4jApgkd1YjmHwBWEgAaioikcpZ3TWBNHhFkAgAy5QA3+DYSxIWWUCaI3HLdQSIISnT2KEOYGFWImHgkFkH4H1RUGQBQLAEkMRI2LRlhwhlAyyAAaQBDnFBXJAAGEQE0MBE+c4AVfgBVpkdERAAAwQI9b4jV5gMczzFl1gBajjMDDxlmwpFiNyABNAQFwQO+klR0agIIcpBgpQARbCEBF5AIYpE3u5Gg6gBF3gU/HBFR0JBnMhEwXAAlPgA08BFw8zmTT+ESNsaQZ+YJRISZz01Qd5IB0Ad3eI4nBUhGGJB2gXOHBdeWlC9Jxj+UWVNU/l5EVghJ3v0SxCkAURgJpvaZ6UySBfUACOSEZyUADm2RELoAA4IQVcpQVIEABvOSJL4DMEcSZccAQXEJmSeZ7o2SAJEAEXgEgbNR9SkASf2ZaiyQV9IwVLAKFEkZ4FUJJwQmhTsAQEsCBi0QBI8GTvSATvCZ8GKhR0sQaEUJwvWl96AGDYdSico4vViaMZdljhEjiURkUjuIt4RVkaFlBiCYKJ5WAjIxBCoAcOAAYYCp8pmhFfcACO+BdyoABDsaJ0ERNgEAFVQFta8wNbQATV+Jb+BaAEXmAjO+ADXVAFDTOb58kgddGW6XIAF/AEsVMmQyAFRqAA5rkAJ1GfCTMHPQKlh3kASeCaDJYxjdGWGjGiXYAcVJAECYChXNolcxoTwQmjnZpWg7AHDSUQh8J3vpijlFc5Prpjtzh5YLSjfodiOTqdXCRoQ6ph2RIEWnAGtBmlUsoRTTIHuHmXBVAXWpqpYtAALNBGbkFGSFCeMVIA/Aljb5ElmIIRvYqtDXIALJAFVEArzmOhKxojYTAAWiBHOVChBzCnBloTFoAFKrJgHxoGdEGvDRAHEzqYCCCuxxqlaiCcngqwZtUHsmRbbpFX0XmMtEpsEbEfenWdgaP+LbsksV6EsNfiowm7giSDBRMQotn6lqvRAAbTpli6r+aJABJQBVzwWWMqB5Z6qaGZp8yDAz7gBWnypFHajS8xE3QaIwkAAQ/iZYpCqWCAqTJhAX1URFIwBw3Ar2+ZqFqAPzkwM+pqoAzAAnAiR1IgB0zrsTGyBoAwnAErtjG0B2mmWFaJglRJIIiHsQOXgpC2tgUCUF8mt58DUNJCHYnXgpG3VbkaATdrsjaRAIM7uAigGVVBGCVhBMIaB8SarVZrQFwhBc5KFGy5ANI6J1gyAWcBn1NxAGeARmeQJHPBs7+aABZwB33Dp0vwp+g5BmFgAVvgHunqsWCgFhDkFlP++6g4gwR6UER/UaZRKrgJYLgLgAAFECZhO7bL2zaDIEuHJW0eSHifo7ZfWSAOJpawtmHZa1ncG5YEUnCChr2W5XpaIAEdu6mVaAFEuL7rKwEWAIUW4IWG4nIk+6jo+QURsAS4p333iZqY6hHS2gNQIQeC0RHoeRYW0AbSFwdJEAcWMJvGyiAIEAFWqigV2rptCbuUAXGF2rUNUASumbRzkKV7uRFgwAKu6RYOGhSaKgZqwL47CL8WEAcIyLw3/DZ7AGN6pb0qSFkpKB8M98PbC751W8QIAasnaKTgq6TfKZbKqAUREKVtQAdykARL4HlXTAdLkARbnARJIAdGwJ7+QnCXJby7MdIAaJAF4QhJlLsRlpumTqYFFYAAelmsRMEAGSAHWJAHXaAHeZAHSZABz7iuUxoAFwBzLPKgTSsGJ6EiSquuvVoXp3t7EsQFrPubHMEASDChHdWyx1oXZlDFXPzFXzwHNozDqcw2XbB4K3aLoyO34FsrQBy3PWyd4nuCVDS+fnfERozL1TGMoJOr58vIdMAHCMIFgpAFgrAFECIIWsDMW7AFXoASXDGsdEqZ+HsArelTXIAE14qel0sFvTQFDwoGauDCYhCoS1B97whbXDAHFIAuDBAGPLmTASAASAMaQ9u0X3ASTSa1Hiyn4goGKIISZLS0rsu7E5r+u0XAJZn8BRlQCILQa2n3zKisyhkdKs47LZIzWfbGy9qrxNZpli0Ia7Dcy0nscCFdxOPbeN4JGlrAsYcqBmVgzF5wzFzAB3twzMesBzi9ByhRiDugtX9qwlqKnglwAVlwO9780G3JAEvgBWwBGFxrnok6zVw3qVtQBDgYAU9YiZ/oAAOQm9FSoU/KrgNAGW0ByZm8pXaREQkwAVXAWVpAB5EM1ZwsU3DRwnvpEWzAB3zw0zjNBX2g0Ye90TpMdS/dvcyi0mApYE0xvZEd2ZON0gUnOiCdy5Y9xLMMxcRsoGHQBnbAffSXULGHxUtQPtXVUGXMlgBcsmJQpcHmFf/+GyPifDtaYAHoKxYWIAgbyW8s1QVYEMZhHAdyYMXITQRHgB2QZKHwaQEtl7sCfcDiSq8iigReoAVasLTrqhGbDCcOgSbPahd/XQdzYAegd3oYjdjt7RuDwMoSm7CVTcQZ2MuZDREqPaTBLESx+rZ5O6Tcy9IKpxDLONMqagYZ8DUds+DNp+ADQAQMJRDtadQ0Ddcx0QAXcAVd4BMoGqFzMKFRt6tFi+FywAU+oFrv0Ut+nAd6oAeCoAeBHdjJ/GmMicEXThT/rBNU0N2ams1syQASYAfUvMjGCqlI0AUH8RZyQN5wfQBo4HwXgAY17N5V/ht9sMNWtKMB1YG2TE7+uKwYVBTEzWnSriq3dDuWSzzS2lsmMQ3aob0kHsI6yKsABOAoAaSRxdQscGHGOH6oaoAAB1AEe4AHSPDUMRLVPiMFdyAX/XwAS+CaiXI5CRR1WwDNW/DieKDMhYDpOLRm6RrbYrDBg8rjeI3jr00UBSAHW8AHcYAp1a0RCsDJ5jcFctDXbwyXFsk6ZwAIVu7rvdEHBBeCETZEXcmLEOvD+pSkb3uqCifslGbgvFqnqqGzOtsgAVABXLDDOsAFSeC41f3CZfCbHnG6mm7o5hnVi3oHkWygXwABeNAFPnCStwMFREAEyC0H944Ex00EcJDvRGAocTIzGayp/0wybT3+mWYg7nUqAXXQB8991LybFHMCF++p0C6BEenyB8r76x1PG7hbi6+c5h6o2UgMsZZWq7lsRWgeYxBG0tXiw6ADgmbp5tLetTHBABawF9nB55U7FGWwBmXQwnUxIkkgCG1w6AwS1dqutFybzaI+AXoQBQzGFp5mBFr4ADtYg2fw1RLwAAIpAPVC8X7Krx5h8DswBdSdqWPwBmbgspkaBiwgCHXAtFw6FCPKBYnxFsHrwuj5BoXg8YF/G3uAu8XWTwTWnMS45bI63yhtcLda0o1vq8Goo9kR7X5+8wyQ7cmpFa7twmUACGiws3SBFmdACG6Q9BuhAHMwzrS79hkRBhT+cOJg5RZdUMDoogDnWI2zyQDyWRIkulEDv7tjYPDObepsGQaA4AaAe8DuXgd1wO4YKusMHQS2zyWo3pZqALaCz/2zAd87LN/dI5V4JZXEfoHMXngfWGm1Kt+Vr6pmTmExPdNnnKJ0UQDZrucDUfGvTfSEQAdnABANxIgZM1AMGDBu3nwxaLAggyVdggwxcqAhwTEFv1jgw2NHjhw3cvzgIifAl4xjGDrMuAABEi5DglBZAobgRZUWuPzIsWPKHIs3HX6pA8jCyoEFxTBI8weM0oZjwCChEmQkFTkFcF4UU2aNoUNhxY4lW9bsWbRp1a5l29btW7hx5faZAjIHjo/+H+3i3aEXJN6ege0OzqFDsF6/gAsTBmx4sGLGHx33BFz5I2C9kwUf1jxEi4SVULmONvilwAApQ+wG6ZIVakoxEO4IwtDAptAyCNis4ZpxacSZSw7cZinmCwUvUe7u5UJEYFKhLAsg2SJTSk2honVa1SEF6FYxCujwkdMAaUGVZd7YfD2QAQuJOYJIKYIAI/SLZQDJ5d/f/38AAxRwrT6E6EswzPKyS8HE8mpsML0UY3DBwPwCKS/ELuzJwgwnVBCywCyD8C/PQCNtoC++CCPFLxZo8cUGAkDtBxpHkqI80QoK44AqvJjjjARG+8IM0e6DaKchnjAAqZuUkgAPKXb+wOFCHFpD4DbYuGIApiF+kMII4qISQyeehJhCOCYNOoAOL/CwYAGHbkqAjfsumooLq37ACs4TxTCDjgEDFXRQQgt9a5A9GuRQQ8ikPLDCEe96VNJIJdwMMsUspZQwThfl67DFBhsijwlC46oMCSBIVQJWWX0ggjMmEGAFGn+Y8ofWnsMvDAOs4IKLOApI88SUGJhjiiGosOIBONHzbSAy7KBiQR108IKIAOyLU0uqrBMuOqXC0EkKkH4KiqsGltjCiyQg0Ha0IgliAA4peNKzPnAdkiCOQgz191+AA55rigP9uuzATymbtNO/Jp3QsYQ3NaxDSO2amEoFL8asYcL+FrWrxGFRTIMOOOQw+eSTi5CjCCN+sGqkILgogqEcxXDAiiG4qOICPrftraUlkMyCWfSaHAiMJLjwwbBqdRgiCQcOIAOjZxtKgEs9k3gq3jG1sDUH7w4ImQE7qtsig55/3nZePO/aM7qGJKhDEIHrtvtugfvw1OGOKZw4U7451VDDhR+zMDDNCN90s8UopnTCILSIgOYiwaCjkC0y1zxzLbTAAgspQg9CCCHku5EBuAmCAOf5kpg8zqqTSmmBObrAYYgt3lQq9i/Q0IMKHJjWIQgoVmChjTXUqNNIOaqK+dssURwXpLBDTpcK3J+IIMyoXtMIDq+vwrfmL9IAC2/+9NNX/z/SQwwccQr73jD+BxVkXEPHMMR48fsNVlxwSTlOPp+hGVfAUAc+8MELC1TgAhfYBQhOoQtUmIKBSIKj0awuCBO5AgaCBB2uzW4OXLARC/jkLKV84QxL8EIFqzWRKGTBDoXww9RwUpAFEMFrXlqCAlI3EDLxpHqjacAcvDA8LbBAV/kqDhjg0wO3ySFtDfkCHc63PixmUYtlGUTpGHcwACpsM/77H8cwIyLDUch+fvlbhjZlKUf5D1M/wMMZQiYGMtBBEJnjgxb0oIVfcWELgdyCHrZABR8IgTXl+SEEniCTIfhIbH2KkwKCZisqJIEA5xHNRvDABQoOIZL+VNjDIADBhjDAaylI6IIPSJKEc11EXKAs17dGU4AlUMFpyqIAcbgGnS3p4VZY0cryxBCGK25RmctM3x68aD/B5E+MFoIYGxkGzQlBCjEg2iYZG4YYCyXMf1ICiZdIxT2DgGFkJitCHFCWBDnA02TwLEIRfECFGy2xITwCXrK2kIYEoISSBFlARDCZBQcg4JdfaEAa5oAFLWyhC7/CQx3cQIY7imE69erBddBpEJ0MYUo0gUDILKlLHFChJML6oZgagIQpQHEmcrBPjtTgBmbmVKd1G0QXvMgxxm0Mf2oM1f4aJbgIHa6bQB1jxAwWMUbpbyQ/yIMdSTOkM8DqDBb+OMNWu0qBM4C1qxOYwACgoFJGjoafOridziag0F82xJI72QHuVuBDljzrCxFAgxyWMAfAziEOFgDDFC9SACJwoQc/0MIc9FkaC1RnBzqgySR3l5ECSEukuIICBQSyO3iNYUtTsNUFe6YUNbCBEDtlbWsJRRfJXCqbCDocwyoGxjaC5GJiBNX8NiPNqA6OcBsrGPXq+EEhfSEBDWAucxMABgZ8gQHTnW4CEmAAI6i0CM8pEhmqUJXb4a48BewTLiUSvCQ94F0o1AgDYGUB+HYVIZTckkR4+FiQemEIOtgBSVGIEQUkgQo7oJFn2kW5orkUCeSST0lqKhQ2+MG1E6b+MID0Rri+eCgvF8PQZOcXW/1l+DAirlCHp+kh4n54wxti0IQsIwUuTABLLTXOQMWw3COgFXWp8y4VhIBeKrjpwX060g8mmzklcjIlGlERGcBQBoRk1CA51EIQ9AS9Io0hsvulbB0U4CzoEMAOUtBBrVR6AfNQLcvhgel+cyZFo43hDcmscJ3trBZEFXe4B5qMix/2vz5/+EIe0q2gOSzojI1xqNrssNO0UKo4x5WSYGjAE7jgBdcs2TfeJfNknVYSd8WOKwVQgo9xEDwvPMECCXiXmqHCEPtIuTRcShYsZacdPjSNpPhJCgGChgN7CaELrgtS9Ki2Sl3uMivRecP+au/8bGibpYsY4vAaNcygFO+Wz5C6WBsp1qFsg6q4juJ2VKuFO0gXzTeSJg2le7QFORCAvRmBgB1k0hf+SgELaGhWeb9r5HPDe9VMWndcRU1FOHChWlxo17GhU4HqVKuypPG1j3sARS9hAQOTlJ2rFZDwc2MFAA1hAyDoHG2U39mZ/qu2Nova4tvOT5rktjaiG1di+OEcxCzO+c4nizsKnDCvB+8TpZWwrnhrOiO8ssKAMRRJObwuwXGquK128GMvaCEOQELu8tiNABU1BAFyiHgmFZBK3llAv9U6UywbYoCgjQQkNxACF5Qwga43yTdbWnuyiFDMjPjh5CknPIX+e1o6Pe88tzaHOaFN7PibY3vcLg/0zMvYE4lvgQIAkLWNU7RcdWGa8xdpUa+EYBjFBDkN0b1jAgpwhArqdpdSSIIFDmBdG4sGAWTIABvEliIEJFaU7FrSaBJQgZgYpu15V655gwDFkPxAgnFoQKsvgoAEsIALqfFBcwIABoaYwRCDL3z5WQtbha1xxImmeahyK/kKferQ02R8/MEpbkQX99xaqEAAWG+cLygsBlgRAGwRsFMuBEwRBqA07PqVeLMN6VoABlgAAnCAKOgSCImZOZCA50oAF5GuFKG0AIA9IfiayUopLpgDDOgq8wC7E1mRFgkDCMiAOlgCCGiA5Qr+ACLAnpSSAwMwDxYJwBhZASk4PRyYAiVwAAgEg+ViLuyqlxyAPvmggiqogAaYrjDAwgUIA+gyACTQAlHCAS8oggBgrjP4A/NLwzorEBFTPJfrkNgSN58bN/WrNgeRPBCTqkOjOTgiER9YAQHoKkEcKwmIAAkYqweQgAkoRLCagFghqwo4gwHILiooAgGAlQiIgEUkqwGIAiG4gR+QQi/JgjgQAEckq1jJKrISAChoH4uROH0zAgzgqgi4vQNcgAVQgAKgQAKAAApgATl4gj7AgwGoAAeoAAEogomYiSKogFNMxQmwAAEggiLcgcUyAgG4RFTsqmxsGZ5YkNHhAiP+MEay2kRUlJUikAKruB1LrAA0iAM1jMcJy7OY+7b6C7HbSrHGU5zHEzRxs5SJabH2w7wpqCcjSAKETIKDRMglSEiHfMiHZBkfqBceMAKLZEiGVEYrC8WRwAvPuIKD9CuFVEi/WoIi4IH9kju8qBaf6AIsuIODJAIWuIALoAAKYJUJoACaBMYnsAIrAKQsqIIjYJkiaEVbEQIgsMiDXEo5MAKWUce78BIjOIKEXEqLpBHoiyMv0QKqbMiHVEonoBEpEQIeYJk7ID95TEst6qm98BjAYarIACpoesvFoUv+CSdoAiA5ghBF+hwp0AIpyAKIAp3BBB0pwKdD2gIp2IL+iMqcv4wCgpkqiOocLsiCzsECDMS4b9QBIaCCKAgdz+mcPOgczxkCAwG2QeMvGjnMzMmCJ3iChIynJFiCI6gCKMiC1BACkZoJ0OSBINALGgnNyQRMLtihPOmBmaACs1FM3KyXr4GMRAqd7TNM4fwcq+iL4AkCLMiDQVBL78ypQdCbPwugQSvPaRKn2ooj83yUmqM8juEbcjOq+9uLKTGTCjLNCqogM9nPKdBPUUoWKsAe3fQCAzkQ/hyC/pwCKaggntDMC2G7BOXP/kTQ/dILKMqwU0POCtIvLwikQNKCLpCCLkAW3eQvYJO+/nTFciId0tHPCN2su9DN/3Qa/fL+MdXgC7wAjA0yEwSV0BSFEALrgj7ozu8sUmXqgtpStPj5H296vyXFS+EKo7xMqm6arbYMiZH4sVM7tVrpAWD70lNjq+HZoA2qltP7scGwlS11JTX9RrkrmIIprS29zsJI0rtYSacRJXzaSBrJzxKckrk7NQURCZGYqi09NVD8UknBgRvwtHPDgYk4tdTE0D/1AfmwMlfygYvjCZHIURzQAyI1UlHFop7KMDp8w8hDVXDax4yB0xIz1cnTH/6CvA5Tv0a9OvP8Gk5xU7vgCY+kDCCdlAyNQg8bNIRZjsE5PeyU0js9NT4lnVrBSl5tGLyYVmJFqi0tmKbpCysr0L/+MNYc+CkLsRccwDgvopFQHVV1TR/0458rBRG43BQ7pRR4NaNvfSMwqtcwklf36Uh8A87HANKpMtT4xFKe2wwoqhZrlR9jra0p+ZAYJTCrOM0D+YFChaJC3RhdXZCKHYxZpcPJMhAxRdYohdjB4QvEE4I9WFeWTR9E+SkzslNNmdl3dSPBqVcojdK4tMtvnRJBrdb5UVRAXY7nXA6fBVbGONo6JSfdehRJDdo7bdbJSgzGWJAfmFVBvZCN7RgMDQlJfdh7LVRPQ5inPdSs/caHZdqvRVahCtcuSNeWjduAYUt3pVcwYtsIASp4BVS+vdt3jdehvde9TarlWFXDsBX+ptlXkrUL6DOyY6WtDcnRB03Swukbh9W5u+Cvj9XXOmXJuhoczS0najHVEYHVA9nUwl0cDRPdKegDuX1dnvJWOHXV2W1DWGWxWjXdELtd3q3V9LNd0rVdxMmwWcXdVR0nhzXVtK1dzZhajvWt2eUvzPuwgIwU3fUtIOWLj53af+Va0q0Y4/ULN0VeWP3YcF1Z2E1fgBmE69XdWL22foRfkBXI+a3dVw1fbVVeD6Nf+u2U3W3agwXXEcPe3XVf+X2UZ0Kq60U8EgNS833e6x1fhi3fDBtS9b1gf/Gp+z1gA8Zd/A1e433V+lUxEeY5/jXVAjVg933D4M0w2WXaEKb+XRPOXRWG4J7gCd7lWOCdYTUCXocx3RFxXAwr4bfFYCMmlEEgmNrNYVoFWVVtw/AV4RPuXRr24d7FX0UzmBWGYg5pXyZlNJfjWlT94HGqRyzGx/VT4dyVYiFw3SN+40DZAyV2PDW24ipuYS6OYT1e3TyWXzKuYzX+Y9oFZCauYUI+5A4msClG5EDOiy6AY0gWkDxLZFU14Q1mYSnmYhAGZEF+vPsD4v69Y02u3xau5D5WMTwG5S1eYlaWYlRmZA2bAriNZFqOC0RhYU5e5VxmtFGOVTDm42vzYC/m4E225ETmZH4E301m5fZt5dvF3O8VZSgG39atZWvujyQmNMX+BV+i2mbIS+ZkptVfvmR8LGNthsNFDmEzXt0S/mR1XpRSpmKdW2NWpWRCa+NrzmdbZkNY7md//meADuhjTmWB1mVCZmDjTWFVJmhC7mQULiV9jui38ClSBuV2zmQmxmRWNWVcZmZhJuMNpmdPtuc/FuRXfl9hruhXftXtXRjffeIMq2aJnmkCUWJuvqZ1vp/S5Whx7mlyBmGbu8edJipsih9f1unBeWaB3Wj2fFKklioM+2agNmU3pmmrRos+QFJezuieHmae/mqfzmmfDmVoHudy7uj/1eFTBuaynt388+WxvserQ9+rrmuzcKZtzmu93mu+1muP6WvADmzBzkv+wS5sw+7rHShiu17ssaBHKwXrm4bsuA5rZZbsMJ5sy1Y/wsZpzBbnMe7srxZSxh5tscjmrc7sjwZt1TZmoZ7s1e5sYoZr1B7r165klZ1l0q7rCzts3u5t3/5t4A5u4R7ujoHo3M5tvCZu5V5u5m5u535ukFDs4ybtw4Nu675u7M5u67463J5uu87q2Q7v2h5v8S7v1d5p8k5vy75t755uOdZu+I5v+Z5vvZbu9qbuPaBv/d5v/r5umb7v477l/h5wAi9ww/5vAA/wujBwBm9wBx+MNu7uBF/sAnlwC79w/jbuCZ/ul8VwD//w6xYCCd/wxe6phQVxFE/xw8ZnEr/+71JVcRiP8cBW2RZPcLqQcRzP8TASthGvccbebR0P8hy3bx9vb9ISciSH8Qgv8gQ37SR/cg+3YCa38QWHchWPawJP7CkncfRTby83bzD/8m/eazEX78Tu8S0f7Q4vczYPczdPb0R+c/NG8DQH8BdvczyX8zz3bL/W8/Cm8Ton8S6ycg/H8gHfAQ0P9AmfNj/f80Z/9Mf2Zki3bCJX9AR/b0LP9PiWZUuv8erWdFC3bhbv9Ban21A/9eVmb1L3dJhFdVf37TNf9SIf9Fevdd6udFnf8OS2dV7va1lG81zncA3udWLf5lEPdh8H72JfdsERNmTf8htndmnvCU5/9in+p/VpL3Zct3ZBH4RsL3Y65/YiH/Zvf/VjF3cmT+ITL3cr3wEpR3dor3J213SfgHdFj/Z5J/RYt/dAx/d8f3LR5vdAp8d/T/JwF/hrJ/eCR2w/521VR/h+t2lHn/hJp/jYPuQcSHSIr/OstviK/3iP32y+1vKNJ/UuB3mUD3lI/+dtL/lrr/CFV/GDd/k0F/CYB/GHp/lOl/ebv3CN13lFf/Get/CfB/p774Khd/B6N/pgx/Skz/KZZ/qBh/mn7+8poGupl3Wbr3r9RnRgz/ot12qup+93B/tc//Sxh++iN3uTj720x26f+Hq2T3N/f/vnjvq57/TwnFe7F25Az3v+bu+Dvnfucwf8Z1f4wQ/unDf8Z0f7xAfulmd8rXf7x+/tuJd8e79xld/8lJ/twsd8azdtzh/9zvfpagf9zDeQ0l990hfn1pV71O90vG591q99Bln82Bd3x698v1773A99sed9vT793+f3rRd+KY384gd+5N/XfV9+iE/i5keq14f+knf66QeJz7d+ft/16Xd37td57Bf+vw//ku9w5Odx89f540/8519/l0/iVrf794f/+Od5u/91+zd6U3977t5/gDgkcCDBggYPIkyocCHDhg4fQowo8VCfLjtyYMyocSPHjh4/ggwpciTJkhmn9JmociXLli5fwowpcybNmjb+IVY0qXMnz54+Qe6Ysucm0aJGjyJNqnQp0z5CfkKNKnWqkD2DmGLNqnUr165eGe55OnUs2bIdd1j9qnYt27Zu3x4Ma3Yu3agp4eLNq3cvX5aDnF4MnEMw4cGGCyM+rDgx48WOG0N+LJlwl6t9L2POrNntILl1P4P+uKPy5tKmT6O+2XnwjtauX8OOLXs27dq2b+PODbvL3dS+fwMPjnDQlIuhj38O2ls48+bOMw/q8jQy9cnWq2O/rr3wFMvPv4MPzza6ceTmpe4Q4l08+/buj/7tcn4+VKHv7+PPH7PPFPr+TaaXln4DEljgQk79l2BIVa1noIMPDoigghNqhFb+gxBimCF7e/RH4YQWahiiiOB1JpaH/o124YgrsnhaiSfSp1yLM9JoWnQwztddjTvyeJl0OB5HWo9DEsnZj0DW1Z2KRTLZ5FLRmYjkWOkNsqSTV2KpmkVSkmVfll+CSRRxXFI1VJhnohkTceWRyZMQy6UZp5wRERdlmyW9aeWce/JJEH93Aphnn4MSahB/2SG6naKRCdFFoY9CKiGgIDWqJ6SXnjmIEIlyuqinDGIaap9/TsoRiKKiKmdnHZaKUYqpwhrnqq0OpmOst2a6xw9stmkrrr+CKSmZrwJb7JeecZmipcYyS2N0rCLJW7PTOvkikFQuS622I94I5Jvbglv+5B68JhhUtuGimyGUHkqbrrs1rqsgSu/S6+yRMX5br74sdktfVfsCzOIe9M0bsMEhxntcwQczjGHCny3csMQOVtSap4jmO7HGBvY7178bg1zgap1ClnHIJ+dHHsmPoXQuyi8z9zBUgsJc83sVbXrxYjTb3DN7HffUqM9DuzewTyYTnfRzMpPEs9JPN8f0gn24DLXV0N0rEqhXcy0c0KI52rXYwf2lNZxjo+0ishy1nLbbqUnt9Ntza2atq3LTnfdlq2UktN5/b4ZgxIAT3lcXXQhYuOJ7VVn14o9DHrnkk1NeueWXY5655ptz3rnnn4Meuuijk1666aejnrrqq7Mt3rrrr8Meu+yz01677bfjnrvuu/Peu++/Ax+88MMTX7zxxyOfvPLLM9/87gEBADs=</t>
  </si>
  <si>
    <t>R0lGODlh9AH0AfcAAAskPxkjNlZYKWp0Pxo3SRgtXSk8Ryc8XAkgahUhahI3bgssdBYtdSQpaz1LRDpTTypIZj1LYjlVbUdWTUpgT1xmR1toYml3ZHZ8aWh5e6QrBLcsBKA4BMssCZ9CBLZDBKJUBKheBLluBMlDCOBCG9FuDeVwH+h7HsReNM5sRNF6UXaBRXaEa7uABMmUBteFEumGH+ixGfaWKviFPPilK/ezIvu0NunRD+vbE/zeFOzkEfviE9jEPPvPLeTQL/nbK/vDNercMPnkLuvkMo+TTq+nRryqXLKzVYKQaqOwd724dLG1e/ylRvy0U+i2aLTCVMfCQdHNQujcUPnmTurkUsLCc8LMcs/Pct7Pc9PYcOLbb9Pgbubkb/rpa+nvcQ0skB0vkA83lQsvrAs3rjBKkSxBvC9NuUZMhG52knF+mCFFxlx8z0Rr1H6UoXiTumSJ34KTgpGWnpCigr22h5ayrpy9v7vMi83EiMvOi/HPlPrimvzwkNT2tPzyqICn6Je16bzE7/TOxOLh1fz50cfN5M/a4+br8/z+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H5BAQKAAAALAAAAAD0AfQBAAj+AA8JHEiwoMGDCBMqXMiwocOHECNKnEixosWLGDNq3Mixo8ePIEOKHEmypMmTKFOqXMmypcuXMGPKnEmzps2bOHPq3Mmzp8+fQIMKHUq0qNGjSJMqXcq0qdOnUKNKnUq1qtWrWLNq3cq1q9evYMOKHUu2rNmzaNOqXcu2rdu3cOPKnUu3rt27ePPq3cu3r9+/gAMLHky4sOHDiBMrXsy4sePHkCNLnky5suXLmDNr3sy5s+fPoEOLHk26tOnTqFOrXs26tevXsGPLnk27tu3buHPr3l10kO89wLtMGT5cyA4hQnIgJz68yx7nfXw/9t2nT3DhxJEjV76ceBfne6L+S+c9lvpz5tqTq8/Bvj37H8e5a2cOPvpg89+zp1eu/Id798kdN593XVQ3HnlVUWfdeVMIAR98/0Uo4YTtwSdEcwWKNwheCj6HnXEQ+kfhiBL+0N134YmHoFMKfucgiTDGSCFy4Pm2YVz4deHgDjL22OOFUwBn44pG/Sacj0gmGeEUBR6Y1m8NKiklkj8EqSKRPQ1i3RRTdumllU6CpeVzyXlpJow8tieEc2FiCZORDUJ45pw/VtnkjVyNWZycdPY543LhtenmSeYV5+ehPe4wXKB4JjjIeWUiKimFJjJp4KAowTnppjJeeCdVUG7H6aglrvkppiL1IVykpLY64YX+ezTqFJkiumqre8exiapHqk6R5q3AljiFfUsNoiOrwSarXJCy7irRo4bWqmyyAupaZK8vTqttpQU6+yyZkf6q7bSwNpulsXGKO66yyzXpLUOP6rjuvP/B5+5P0CJL77hVBvouQn1wue/AAHbLE7QEJ6xcF+buap2+Cu+LnKAxaQlxxPQO2zCR2GLssRDh1ZSvxxFXGium1skrKY8s59Dyyy7HDLO6CZcrU8cxzhxzkjrr7GrPI7Js4r0IaqljmkAnLfPSNHep9NNMRw01zBWuSSxLWkYpoc8TTr1zolKH7TXVXYfN3g5ow9pH0V2gzfLYYjPt9tx012033HjHnbT+3RqzpKpxMs8ttt16y3034XknjvjguCp6cm4BG5d44S2fOfnllEfo9rApGSv50u0p/V/eMmJOOq6Uo700yBu39vfFiJpOMtkur9k6R5HTXHnQoPNcOLW9Kykgs7JlDfjZmZ9upuzMRz0iciGLBC3SwYuOOtw5J6890JpnHrzLlsL2MMnkS0l0R3+Xr76PfbMW8Prw//g47lrHb/+rBqM2iK/39//82hp5lP8GKKEL3W4zFoMdAe9HvIukb4EQzEGVrgaah0krggRknUXIhEEI8qiBnjGaAjtovx/kLyJ7EBgJI2i1EPZhhCu0nwEl8sIYkpBzm3mfDVcoBAA2xHP+OyShCQ/ImEeJKogdBGFCgIhEDObKh5NBVxNjqMGEPHCKGLwQFCHzqAtikYXzK8j+mvbFDFKwMcb6Whk7uEWB7G+NVDyjYnQIxxgyjCB0rGMHh9iYFOrRhrYTSAph+Mf45YqIfnkhnwqZRYapioyMHCAfD5O1SAJykJaMYRgHk8dMevKTGLsjYfYQoO/tq3leA5bsOIVKs23vd3PCXJ9eJsrApFB1LzucLnfJy16+knm9DKYvgem2Xx7ul8ZEZs+EuUtlBo6Zx3zZDAEziO1wjV6txB6pWok85V3Pmdn03vLAqcYpUS1X1GxbNw0HzXYGk5ymcyc04Sk3ZdaNnuH+fJo86YZPl+1zZi/bJIfUCcqCGpRkPeSLsSB50IY6lF0CpYvKHkrRiioLh3chpRctytGOSmqadanmRj1K0pKaaU12SaNJV8rSM7XRLQJsqUxniqSEyqWGNM2pTilUS7eoaqdADSp7AvmWiQr1qDPFKFtwitSmynQKiPzKG51KVZailC17qKpWVyqEqHKlk1sNa0V7WpYuivWsFlVqWQLGULS61ZJkFctC30rXg4LsLH7sXjgnlc9+0g5sfQ2sXwfrzXUK9prIdM8JwwLEv/qpr/bTZl1HZ8pg7c53LLsrWV64zH/ejbDP9Kxombm90Zr2tKhN7TxzqdrV+tOdTAP+aViO5ko6HXZ9ha0rYlVZWTT1zqaM1adpQQvQ1qbWnsZNrnKXO0ypMfezxX0na9M2lj1AzXLEdR7GZKnbuPF2txTyGcu8GpWpTva8B41oVvqA3vYaFKpS7YJ75/vJPXyFqfTN7x/jipWs6ve/etTsVswL4AJ/Ub1UAauBF2xD/lbFqAyOMA/tqxUCS/jCGDThVvCL4Q4TUFHkTcoeRurhEsMPuFfhn4lXfL+rYoWQLI4xwaawXhjL+MbrEkJW/IvjHmPsBy+Fikp9TGSC7UCOQpYvkm57Wadll8llg7KUn0zlKU+ZPQhuSjUl26pVelC7RfZYmuBbFc6W9rmoRPP+cgen5ja7+c1wbu1ru5ogUr6yy/0coPXCbGSZobi8BPXRbQ9l5TzzrtCIrrKiEz25//QwxEJJI5f5amj/7ZnPp2RalpWiYEx7GlgOLlanP01qUpG5vHYutapt1b4kq3DVsN5Uq59yxVjb+lBVhEqtb83rMxEVKnnttbBPutimBHvYyFaSFqWS6mQ7G0lBkgqEn03t8EY7KtOutrYdTWGoZHvb4BbwU7pAYnBX28XjtrG5hY1upyh53fBud1PeDW9zy5sp9K43uLsgbX2v+95LUSej6UmigRt80Qg/uMITLjV+Y1vd2/VuE9saunJWjuKoE15vbZs9SDbZyQUXdMj+MR5lEgFcKfJaeG716tdohra5whXc23T52pcXc3E3rzk/XT5z476W5s2c+c+nG/Sdg25vN5e5c2FLdMGdPCnfxq3EY1c2KZF8axt/5tfe9j11Obac1xPcysBccVzq1ewZDy9lVbfOsm8deaFjO9g/Xjp/gh154nY3xEFJ929yb8l3NyzWKYvdtI9dd2snO+BZnr3uOT7uF3d74uuJ8b8+HSnN9qi4rl5y3/lW8nhmfOEzTr3d9R30jee8379Zcbi33uuEL3lb827scv+X4qfffMgDr3aFqR7PTYO9k3/1ewldG9jZuvDVhR/73Q+e9+sqve97d/rnV91yx6d1/Wz+TXLOg5fqX+842DZVfNZ//PctW3ZUIufv5fO+/BzHrPUBS/7e+7atOyg2U3atU/gvWeyA539nU3pKd1leZ3bW83eCVoBv93oBSGnhR3+X1UKAtncdJYCeVzqbF3lkVHnVszP+R3zQd39u93Ud2GSsNYCI53pzB4CGN3kRWDCQhi9HQlO4VH0saHVGd38iyHX4F173ZHrQ11lCZ3SX5UVJh4BaV4Kac3G5xE6QN3SulYOttzXHJEFKxCKjRlIA9XmxNCL+ISI5J3gMhX9GCII4aH4SJHfXJ0Fu2DhKGDgWh4I/t3RS2HMI+E7OY4BkWHZJxx5Z6BRbyFHcg3hoZ3X+dpeGVSh4uzdSSjeCWMc1bFdMOjiG3WSAbDh0FueHAChzeYg2OjA3odiDIMiIjpeCbqhW2pdTkjh3VNh4oyKE1cdPXQeJkCd3kdc4kBiHrOeHuqiEpNhzt8hOV9iLPrgzi8SEMqN/WvZqJVWGiReCDliG8NeDaXJBPaCCiigi0rKDI6dGfcd19neLBKiINdd8XUOJZ4c04rh4LsOMTDFkLNWKooeIiaKOPCOEJGaGmWh/IdiPtjiJOqeMSZKNs3SDtEiCchhqxTJiQXWA1ANyixiEAJiNBtkeN5ADFxk0HLiIh3ZPoxd2PIIDA5gzAHmOLGiR7JGRG4kkKtmSL0n+jo9YcD2zaUlhMVRVhLYoJaGoAzkwiqMISRnJHi3ZNaGIA0HpkwAJe6KoAz5ZIS55j0rpk09pex6ZAySpAySmkkOpkSTSlSrpHjHZHhcJinODAwLoNjaZFBwmVCwTijspJWg5l1jpgu5BkkT5f6DoMkpphU24A2iJj2ZSlO7Rk+xBkv5BmHf5HwbpHz4ZBHi5mBSimCNykdlYbnApin+ZJpE5I0HGIs7oljvQl7EImBQXmBTSlRTSk6P5gnvoT3CJlSQSmWgpm0pimG5YK2yHA5QpQT8gIoipOT7ZmTiAl8ZZIsXJgp15mLbZnC5DkrWJK07Zmp3ymc1YVWhTmxj+mHjQyZnMuZhoyZpuk5wxEp7igpdPGTo6gJSPN5vtEZ7T6Zwkko1ZCZhieZijyZk/gANeBJwjGSFOGaDNOZI7sJ/vcZjBOZrTGZhyh5reuZ+bB53oOZ3r+Z7PM4ORlm9ARZL5ySPpaSYcip/il59U2aFBaZsnmZ6dqS5oOQQCaYUfqplJ6Z1++R8M2pzwuZwHep8jEqA+ap8Bmp/8+Z3soQNDgJQUSqKG2ZOj+B7RiaJiaJpO+ZM6GiEMGY881lQESkZViiao+Z5dCpum+Z/mGaRMGqQj6R8SaqHZeZdC0KQW2gM9oKYKyp5TOYntaJ5KSqTMSTPhyZ7+9JteaaH+E8KhPhqbYsqkramoCtqhr3WUQKk6gkqW7hGGyYGUSFqfJHKl+4dULcOgBFqX5vSczbmRy9mhpmmcxTmXi/qTjlqgdBkhVRqYS0qp9LmqWCmhrQmdsrmqvrqevhqi7fmeQNmrqimiOcCSg/qThzqm45md0MqrZTqSGQmqrqqf6rKRv1mcjsqtSfgf3ZYgJEWbfIp1XyqipNkj4dk9vHqXQmqaXfmb8GGaKDqADnp3I0mSN+AfO3AD/0mqGHk2MeqsJJmNQ8mhqCoucFmwuZom1YqV0ymOK0qvBmmQYxqUbWqb9dmagMmrcrKfBoqgonqYfFKxhGqg+8mtdVmfT4n+mNbJIhZoUaFKm/43nA0qm8fBIyArBLSasXdpIlJoryNZoVvTk785p/45pnanixCCh8mal9p4T6PYrhKSkTrAs3oKp3wZsW/ooXQDOAyllL+ykQXqRYRpdqfqpL/pA/xqn3D3pD+AoUShQsepsd9Zt3h7t3prt3ybt6Jam4A7s//qt4S7t5Jpo4Y7sqwanYH7t6H6nKCIlx17IV6QHUgam/s6lPsqQdLqlWGZlU9pkOt6tcwxBT8Qr7vqMjegr4zJnLEKBHIasLJpmcRKtBeUkb+JHUPwpv46tUWqoKG4unUppBLUA/x5A8CarF1pqLL5A3K6kft6ulgZu3eZnG7+q5HHyp+lC6FsqDp4+QNaIXAMpzgIWb7S52WFGpG86ZvXE53nBHfEd6PeqwNUUL9UsAVSsAX1OwTDWbxe6a+/+ab5Ka+TKqioGpnrubtSIAVasAVaIAWm+54EOp1BoBw6+4YGzCpdecFhGIYHigMC/KQrmQNTsMBakAVZ4AVeIMD52R4B+qZDwL/GsZ6t6bzOy7PakSYWS6Hsa5FDGYYFeqCm+qY0fL3JCphUUMJckAdYwAUNcpLtQWM7FrPAI3J98pRPKYKl+B7Oa6MnGZFgDLkeWpwq/ARJQARyIAdF8ARc4AVDAJkiUq2VQhy7W7rDUSUNMgWsCaZDQAVaYMb+aCwHRnAFwrG53isEfTwFlZvEJTwcUnAh9VscDRIEeEwcEIwexFG/buyiIzuaJVwFSxDIT3AFUTAFR8qgSInIVDAEmxzDQeqbQhAEU0AFbqw1uDscMczIDmKwh4kcq7y7O5KRkLzKq0y0GHkDQlC/VpAERSAHRGAEVdAFVACZkORwWFFDHgq5P6nNSlmb3ZzN9PrN2xzO2hy43qzNokqv47zN6MrN7kzO5Jy+b1upseufKwvOjMuZNAqqo4kDQ8AFT8ACFPAADvAAFMACSaAF5KambogDJSwFWKAFDbwFWXDCEY0FFX0FJywFrtyy/uwFV5AEFzDQEfAAFUAEV+D+xMU5pUFABVHABRSNwllw0REt0ydc0Qu8ylngwFqg0Vjw0xGt0RWdBVcgBVHwxmcjzFOgBUmAARVwBiV90GxMBUJgtQoaBPm7BTAN0zGsoOwhyz4A01sw1lHgk8jsA1KQBVHgwPgrBUBLslJwBUNt1IhspFGQ1g3s0jH8pCB8v0eABBQQARFwBhWAAUqQBatcStxWYaHJfDno2JvomhTypeEY2R7p2DDD1+f5HjEQA2EZMx8Kv+woeN1Jv1ogBxVwAAygAArAAAxwABMgB1gQwYdppFRQBESQ23CQ23KABHAAB0hABL8d3HFABEVABfHpz11QBQJ9AAXwBa6tABL+cAFGoCMB+gNUAAW87dvD3dtI0Ntx4Nu+ndtsfAS5/d2/3du9DQfrjQTFHdxu7U9Ieb+oHQEJkABhsNoHQAGybbrwmczmTQRxwN7GHQRBMLU/EAXnDdzGHQU8e9to7N7ubdxSEASmGQQKTgRIENzG/ctbgNsDruFE4ANUgLy7OgVZUAQUAAEN0AAJ0OIHcNJaMAXUjIuq+GB82IDwO5Gup3s7I87QOqASksX5TH09TnpVGLgsc67R+QNA4AItALvuWqRHToWbjQNUwAVLMAENwABf8AVj8OVg0AAVYARcYKAKOgRbIAACMNhn8OaCDdUScAZzLgESEAEOsAJasLv+WPkDEA0HEdAAC/AFYlDoYVAABnABeIDcPlnCRSAAEyDYdn7ngy3Yki7nBp0EfEAEDrDiEkAGdx7qoA7qce4AAlAFbevQVJAEFVAAXl7oYvAFrF0BS/DAP6CUQdAFnP7mUJ3nWlDBwzkFUADplW7qUGDKWTAADgDVcO4AA7DnAToEVdDmvJ7nHD0EUSAAy/7mEzAAUDDNVIkDQcAFrH4Agw7rYPAFBTABSbAFLrqbo2nNU+zCIlrkLZsm9+647azvrsqmNJrF7FyC56nPipvNI3vveNiX1zulPSADIAACNCAhmo2s5/ypzBkEXvAEGVAACVDoYwDrYgAGCXABdyD+BQJLv1vgAAFw3/f95Qgw6AywADL/5QlQAAKQBcaBllKgB3NwBghA6GIwBh9f6AsAAUjABcjtILpuAAAw8z//BYMO9VAv8zIPAAQgB14wAFaPAGHw9IMe9S7PAAgAAAZgBFHilF5QBRZQAAsA8kI/BgjAAGhQ8haOlrm+AivP8gFQARVewWmjBEw/6AkAAA7w7UNwBQIAAAnw9AkQABNwBfx7tVTwBAGw8l/Q+ALg7hlvAAXQAJcfAAagBFNgnn18BxZAAG0P8oWOAApgAVawyqWY61xhZ8TXhQ7Yh9WTS+sqnYTnvvi6zokoh7cPjtu8sGyXjdPZAy/wAR/gAgz+XXH3iqderEas3AYFEAYeL/QgX/NIoAfw0ZP36wAFAAaqH/TlT/QUoAVU0OddYPoJ8Pbab/5ioAAE8ARurAM+0AVyYAALEObnX/4AMUYBATl8VhAII0bhmDFiGiqEKCYMAwNzpPzYoUMIFyQGvkRsyHAMmAJI+gQRgiOHEC0YGjSAiKACFiFBcuTAMeWIgQUQKVahQiWLAwQPFSaAADSIDhxUlhD4KAbMFwtbhnh5YoCBTwNAdezIGMSLHABfjIIMQwCJlyA7VGLUuOfQXLp17d7Fm1fvXr59/R4aNOVmjh2DDQ8ujPjwYsKLEx8Gy1jHYRyRH9+snGOy28s3Oxv+vvy5cOjEk2/ewJlRiI0SHzzQ+MG4sWPQniPn+PFWih0KPUFGFMOAAlCwhaVsiRD1d0iHEKnimYIDhxA9Rg4kCHmWoZgFLLIMSTlFToGEwM+aJ8gnw4Ko2UUCF/MlwBzBOKlYoZAA/kKFDCzY4YKpHILgggX9IErAAi1+sAknnQ4oryEH7qBCCi0m2Gq7Mr5oYAkuprvBiySggiiMqoagogoIIgLjgCUEAwvFOyxAwKHzbFzgASuoUCmynPr4K0ghhySyr0G6SCyzwjbLLDPTnGxss9Q0IyyzKQtrEkvDTOuBNs46A/NKKjm76cklq8SytDJVWqyyH2j4IE4bfsj+DbPBekRzSjPXvOmHG37gSAEwQNLuiwOQ0KIt6Y5Lbj/mtlPoCwrykMI+LCw4EFKIHgojgiV4DEKKOBrQdD9CCRIkAwUIFalUhRqwCKerWDhgU0IhagAJLtoacAsWtnJOQToHk0IJAoA7YI4KtUjuvAaS2MKmIKiYo4CIqNqCCi6qqDWiZKnIbQcCiWggDFcXGiMMAHT1YYfYNOsCyCLnpbfevfoQgrAkHxtttsY+84w2fTG7LcnBTKNNScUU25PghREL09+ADWMTpxx6kMGDD0IAIjY2+60N5In9rdOHLCqokVVbEaDgCinYnEIPCMpb7r2ILMii0qbmuM5GUxX+KomKIXAQFaaf+UNXgTgMyYDmh1rdD9bocpgii/yQtjUmCraQIt8hCgTWIaoWbJBobptT6AA7pLCw2bPAYMGL3H7YzdqFqOICxSoGNaqBKiq9KQgtaEzoRp8RmOCKKZjKTC57H4ecXnz5TQxgxsisXGLSKOacyjZvm9hKKwue7THT+K1NtootxukHIErg4IMSgOgyT9ZFKz21x3CgewmezHPVUDmosOnPLR5w9NGnqaIJh69ZaIBvw53bGryij4avoQPoSFW5TaEGrgD6pBOxW7QdXeCAJLxAjUAWFshu7GEHlGIJ89Ougou2zTqfgQvY4p0U5qAA/jVEQUFR0fn+DlCFKfRAJfULAEyY8zMCJGEKDVqJ4yK3QQ7y5Ugjq42URBiwfV0pS56TmJ1AaLHKWaYyLRxZv1y4uxIibDJsWt2U2PQDG8RpBDLoQQ/OhLAtNUZ0oxFZAJHQAO9B6jwF+J9N6IYc72XtUfGhABYEM4QsTAA7PlsORFzEvi7EYVDYOw8YlpaBKv4GPh0SgkZacqDs/aYAK/ACDwZEBRasKiRUyQMGhVAs8zUkKcuKANbG8IUJaAFwXViCH8V2hrxRwQ6STJsSALcRA53xaA1pABq4cIPITEFeHURlKucyiD2U8Eyq+8wL/ZW5z5jmhmdqkmzQhDqKjUaWXyLhv3T+mULCfIUwN8BYnD5AAyE6bJi8TB1upjC4L2IvUg/gGm6kwAUItNE8PpMUFirllAMgQA1YQ5tRELCWr43qfI4CSQPiIAg0ePNoBQBKU65wBgSUAY2RioAWfECnAq3KRvKzCe+ooASDNkdtiPzIWb7gAOjQaQqRRNoBpXA2o3RlCrkJQhYw5U9rqgEBZ8BCWwrThUGo0qWo7AMSQXam4gysOJuRoWVk+C8i4uQrp8udDKXUS8/BUKY2FaZlcIo5O01GB8YEwgk28AEU0A6JVoJYMW1anBdqaVp4OIAnrSkGBXxKilro5lgPqqCucUEOKfPZ0yYoBpZtoQvX+6e35ln+z0/CpwBKoIIOFmo0tbbIIgySwvuuZQEsvAs3Cy2kGBboSDxMIKLAMcATusC7i0rSgFpA4IoiQoC/5YYKeDCAWK0ptcTsoaUvhS3kBiEEGf7yTpaZZVLLFLARDgynTlVJZaQUJl+C7k4MCyZNlaQw3/byqYXpQQ1GMNUX9AAjKKQM6Twny8MILgmEHesYFgCHD9GNWfbM3iItgAcGaeEC8EPXBF0FAQD5QA7lMorhnibZNaIXXfwxwBKGMAQtwAG8YQSOPLuAEl+FTb0LCu4glVAro6iNbXlo1BPl8NEcCNBaD/kCJRF4P8kq4aMoGo9qvxmRdXbBB4Q5ZWxlPC/+ViY1p7il6U6B+cqZbikjGTmMU0eDUyMa13ZADuaRdYrEKR23mE/FQQ/gNIJlWpeYXRXm6XBcMQJhgI4/Y44asEUnQDXKmtt5jhSCsAUJ8A+dYESQHLygBTkYIJ2ucqJA5JAq36BzO1AjgFm5QKMbvSeNF9hDENwXtvjgLF+BGwJDkbU2KWDYLJoaQ0k++oPO8gdbI05waddsoLzGREFByMlrZ7xqIvUhSv864Suz/K+d6haJtvzxcX9MOprOJri8RiqRcSzMriLZM081Zg9O8IENcKwH+TJm6oorTBtjhgpbyM9+wQwRCOTMvM1Sq0IYOwUpgDVCby7VF1igBbf+kufPNrOVSBRQkKZ9TzvuEYP4KlRZ+P4ZaenemtAKBNcHMyhwFxWtGO8ghSlY+p3cuYCLbzCFanm6KqAeragH3Wd4v1mydxAMS1k9ciENosfFGTZugTrcMb162ql5rkpqR8pgErHHH9Nxk239y5oCLCNf6QEQUDCCDsDAyjW9rctz3mPBoraAdYyasn5ABbRe+uGmooAepDCWD5e60Vtot3zhKW86FEJV30tecwgAoLpd2t8r5jYeBuwr5RQ8SYRE1sIrnWHgMFILDRSgQRkyNozj6g50kkIWDtDEtOPqUzmIMcklr5fZMvnkRR1dUBV28pl+BbpdWtLLe25EJzv+DJi6FTYKT38aZO9AyiOgMjOv63nb7Bb1LtchOc84vf0wIAlc6EHV3HZ1+IRhAlxgNxzgx/vmGOULEsDDFuSggHvLV64KoIN6GgrnW4khAXPYgha+WzjuZ02Mn3pe3amSBYOvpFjblyylLW04CIgz+BhtToi5EBQ7qJYACyeQKjiW//qm/RoJObgIVZu8BcSLPciXXustmcopWusXLWu53Yq2IMKNGwMZJuEl6ag94zo9WhoYYiom3kmmDUCBGrAyPCm9nQIqygmcdiNA57AnMEAU68IDvmM+iKAALdACLKinuUqvsyCDKpA+BjgX/dIz7XOje5oDLdiCOLifUpH+K7RJgOEZgi3IAEaTH4zgnUhLOO3Ru/MyFQjQpB7ggjkYwIc4kRRJuFdRCimYvvgaOxsZg1zpgilgwD7Ei8kJqkAkwQjUPGjiqhygHRbEnaFCOqzykjRhMljLnB65DOnICNcpgamaHTphk2iLweRKKqwKFQxwsJgog7DyJjDAgMb6AT3gQWtagKrQAjwgg4g6jyY6CwZYAj6IAyWEOkc5gDZQD5ohvk35grXjAi5IgwNjMahjgBXQH2V0MEBKicKYFknbFAurNMuqo7JyMYrzo4YgvBSBvwUiHi1Aghp5O4WAKztkAAzQAj3ww3mki8CoRGhqMkeUjRLinNL4vBr+aIEYcIyeyrXgYozV4a4KFBMVShMi+goeorIPMLqLsQ0iqpgcgpKXExwL8A3nS5A2QINahA8wYKxvczOb+YKUvBYAoIAs4II7iKyYAIMEyJTzUQBouS8Vs8NrOQA5YBr4ixQEoMn4SMkFQID5QD4L8KYvmEn9yK/Bq4BoJEWLo4kfMA0peAIKcyj5iwBfhA8FQAI9UMOnOB8J2L+NIgNkUZYgyAOOdCLnAAOxahWq0IPIo8cFPJJHGyobCsSDIaFYIyofGYygg4EQcIFhqZjb+Bjas5jayRzbAAvmqjXIMDbbeD0VhA2CIROdAw0iy63W0QIJcDBxlAA6wIM64Kv+vpuAQNo7q3uaBVAABpDNBPgCBigAAhgAl5wD9sgapkQDNDgDTzIKMIADQZCDAKBJmqw7SPmC5EyA9MCANmJKMHiJ6iSAAzgAA4ACLciC4LzFBjiDNPDO3/A7KUyDabSAPKgJSJswkDiAhaM6M/uNMMAAsQw8TdGos/GWtbyQfouIBrAA8RROkQgxQVDAu2RAQBwmENpM06M2WvOMi7wYGhABDxABKwshxWhQi0HIFZK1CwSTzhACZdOAESgBDaTEh1lIiUGY0aAbLIgAc2k+yYKDPOgDLqCDsMKaCGAvKZCZKjIDC8gACyDSIrWAC6gAIogCLkgCOoIUMECDOSD+BDgQSU35AgwQhCJwgAiIAPDcvfNpkTPITgEgAkHAAI4TAzUY0gsw0iIdgApwAi7Ygm46j5MCBDyIgzNws/wzADwAQha4LPWqSt2wH1vRxjx4gDZqiDC4AEqBJAWQ0a+rEJhUy30bPuc4AzkgBDrQ0/8yIANF0Hn8IA21vRJKyBJMmM5wQdd5AQ8AgQudH9vrTNDRAYyQweNyQYYsMl1CDddBgQ0YARiADIysvc9JmI2i0+b7ggiwgznjgrasO4Xo0wtLVoUIAzeogzrAAzu4gzm4AzuYAzt4AijwUSRIgMLZjpOyAz7YAzxAg544iwQRhCcgghVgAQxAAvGEDzL+SIN7RQIWIAIjyIMuRBo2oANxvYOEvYMquIMluANy5QKwSlNkoQM94IJCSMeoWThlNJrBE5bYoJMUKaQxeE+2uRBFxSJxEiAC0BQRS5G03E8qmAKYtLpIYYA924JCgAOnPB80EIRQFdVW8jVVncw0QS6j1alcvRjWiJ3qitUVqr0eoRODecyQyVDLaaaLqYEP6IARoAEny6GF0UeHscSbECCtBLGWlAIfEIs0GNCP84HWjAgGiAM+SMb9u9uguKtp8rI7+wLyyoIoEBEyKIprOQN2i4IrCEI8KAQ0gI80IAQsyIIgdII80AMWODcEQINC2AIvqBALQT62oRspuAP+ZkQAC7DYzrWDxYOP+QBCDBC8RlsQi2GQQs1G+UvU6YG+u8IoEDuRjYI/BQCKlYWzk8IDL0BeOziDh0sDQwDaeeyD+jjVoXoYfnHEQfS1weyh2JE9xzJBxpyOoKud29ISFmKdyyGm0Ugm2KsdAQlbxXBEnBsZolkCCXI+ONgDH8CBIOgCnskaF2G4qjOKAvg9LqgJIUBgIZgCBZ4CH+CCC+DZ5igrL/ABHfCCLXBLwz1eodnDLlCPKkoDPfCCKeiCEraQDPhSBMiAztUIBua0Kdg08es655AzNRPcNnujJADCDOgWj9WClOgTKniChiJDk83dM7wD3qU+ozgDzyX+XRKzMPEjFStlgT4QGingA0KLiDKIgwN9XsmzR4m53tLJvNwaNn+RWoyhshCYE8eqDH1sEpl7ExcAAorUKqASW80kGIT5mMrogRcoURNwIGOK1dX5kvIFjdAQHDnIEBZRAi+ojK8KTmRJgq9KJKPIwgWzidLQCHHxAQx+Wwm4Ah4RLC+AA3WMiAhYuCHQiCHYJjZyvgvIFkWjEyzAgqlsDs21CkLGDQEZkC4gAniN2RvQAR/wgl+BD7pFvvNEG+YZgjsR4ir8PyPeU4q9Kzuwm0hREL2BWYggLaobj1JRHwrGAR/YAzjgG4hggz/4Yj+sMQ39QEhMul1dLtwaDFL+wkRmE2ROPCo2GV9fdh0RCAEggpifyiWDCRglkWefgi4q+yEHArIfaN9h5S6DLL2vGCQkYDSFSIopiMxymwCxOsYk6Bo205QGGB5eqZw33gGhsIDRXIAL2JWnGoIr+K5qtjDamoxtAlTnwwAuAFkyawlGS4AM+I4b+jWmcJdjhi/niIAdwQEdcOUk2OjgiIM/9c9wGhrcmJYkgOIy5EZTuVkvqB9Mer6zrAL4CzTki4MZ5uicGQJxIScwWgNAaGd3pi2BaTnUAR3bsrwUmg4bgL0PAKJmwqVYKgw6ia44cQEh6sSbwseD4RdjSgwhqtWt/YARYMGo5hLSgzmu2tD+gcETLmIB1QoxxfmKnNCCAVDOlGSAACgChsODB7CZApCDLvgKUrJEt2gdPBBNW1kAJNisJREgj0gwZWmSjSBY5/hpBknsbYrOiCjq7wBBlUC2GVyBptbmo3aLNSQxuiIvX1k+cbQAQZBZ8Lg2OyBGybKCi9AC5Jme8UrGJchmcdOCr9FPb16bAttoRtq/yBRZ4PCDn71rBvygXhvb9OUu8n21LaETGWA2zZZof4k2HNIXmfvjOJEBJ1MTvzzf3boMPgaLH4ABfZ4TVB0MxGSyDv3wxuCi6F6sH/6xUCECAZiACDgDCZiACSiCIJiC4wEjlPZcIZjan8OMcktUW/H+vZcJnI2Sz/7wEMfqsj1VN6B+jC4j6gzIm2f+ASEYMI1QCWN+L4la4WcmJSq4gziMFDQAwlN+D6oohGTsgmTkgxzNO2qeni9YYS6ogzb8umlZXWTxEC0AVKT5AplGtceygioVAzYABOctcLyMKcigNtTxQL62Wl+qkh7IxA4ogTlBDb/sqQtPbCAIgTipgXcxmBzibaIa9csI6A7YgMLWoYzYodToEUt8IUNmIam+AqW0FVXcleL4gSGAgiJIgiSQA2UvAiiYutk2l4cAAznQg6CokCmQ2U0bECvAYXRZoKkhjCCoLNVagN/7mCk3Rmicn/19YGLUXD7oXBjGdi/+8HJ3UUOOBI7gzhtLTLxu94kLkMI+AqMzAAQ7wAM8SFg7oAPVKtkfeO9qBg4J6Fz802bQOttJk9M0EGZr1ZUgCHUCkwAwEIk1KIRI78PZIipnapjPFBM8JhjXiZMOOAEMZR2nCrLbkLI44Zh8wTLOYczxrUwn65IeEOzMlr0gE5AJF8wyybXa+JiapoBqptsuQI039nK2yZZsYbj2gm+IAIM2KIQsEHss4E4piIKLIBo7MG7+gAA8oAIWqrQLiNYFQECedxcugOW7+ekGAQv36TO6YgM7mFwswAPJ3YIt8IEhoBsuqIAqmjcvcJeVEBwKgI8FMGpfwSSpaFMLQAP+NmD4Muz6M1zXJCDis0aRQN9P5GMj4AADHfb4fNnI9vADSDf5BfToSn9Q7aJwE8ylHPgTOOkAwg4iMNkTsBAQ6yoBEPiA6uoB1AAdDTyY+AWZj2GdoINwTz9xO+Zs6Kr+ixGuH3vfMhmCyqpmlHax1tEMwRowFJFZKuiB/TkLNGgDOJAD+kcCJCACIuCBjwoCbnEaMQCIB3qG5MCRY0cQLhi+iBEzpiECJFx+5Kg4RCHDhmO+YJj4Y0fFIFtYMGhoUoIbOHDixJGDhAiRIkF+/Mgy4ctDkwSWUBlCESEXCxlNJrjARUsGBSZNgmnaAIwCBmAQLBVz4I6UH1oe4Kz+unTBEz5LSpr8YmELFSlVwFQlYOeoUJMPFczZIqTHjh8JLSQQo0YNoUOCBxMubPgw4sSKFzNu7JjwHiEVK4LEAXLy5ckFM+vQfNDywdCXd/T48eLDhxI1fnoG3bmijsw/gIBATaP05sw5emiOXdDza8ygK/YAcmLDhxOl8+4+qOM5SN67cTvfERvk6M0Hh1iJ4HApgyVZaerFMeT8EB1DzOMonYdrzoZqyEiQEOF+hAkCimSVsuSAVxSgNZkOQehBUlUMSCRZRT9glNNGRhE02RBbLFTVfPadcUYEHE6wQhBBSHEFfEsZYAcVQtCUFxcX9LVUAxZooUcGJUEoBgL+X+ioI1VeXSWFFO+NEZ9XC8jhBR0FyCWGjBfZAeB3Vi3BRRYW+GiHFj8YhAMOXaDRVxlsPDYmmWWaeWZhg0wB0mvYfVYZdpZdFhxldXpGGWlAlLDBCCUAwVpFBr2pWWY9yPABByIAUZoQO1gnKHGwWTeZdJ3RaZ2jjuZQgwl8yvDDcwZRlMNzz+VAExA11ECdddANFyhsVFQBQVcmNYDVR6dqKcR56hWoAw4/SKFFBAsQKcYXC3yRIwIMNBAAERNRsQQB8T10lmTBmidFHC+atEBHoO1w0UIQfsECF0FkFoQWGJD10ENh8JgAvQkEMEAUwmbxQJTIGmDFeaMKQcX+Cgmw1RAYBQiABY1hePXwUkNahdUUW9V6LLIsCFKHkmVZkAUVskKZ0wFTaiFBxGJAgJUQggrLgsFlxIEmzTXbjGYXDN6ZXXaeuandoG6SxsQHfN720at4CreDQT308AIHyZVG3Z0EXufzq5iS+loNI4zwgQ1CQDeqZaWiSsMLMKy2GXSZkqqZZbIa0K9VeEgB0g0/CCHEFOfxet6aP/SghwO1QixGUwkgoUcQ0yrg8FIXaLFeoEJ0IUcB1ibQkYohYbTUFytw0fJkDtaoEehVfZGAAFkIIQUe/IIOQRZb6KD3QQQTUC8DAARQAQ80Hrzk4VH+CPsEkDt0rFlb1EH+QFVncDGEFE9WdcAcVJ4xfEMQ2J3tQVIQEUABFgByM/rpq19YH1Pg2VnPdh6kaWhtvqnpcMHK8PUINtC0GaS2Rr/S9aAGIejAB5ggBSAAIQY9gBTTCOWqyciJQJghFUho8IE+2QBTl7rObGAQAhSAAAbSkVNntnQZyxhkCkowQBiIdAA8qKsgr6OCF3DIhbRwoW/CwkLhihelBkRrClRIQuaqwgIttIwieZtCEsiiEQQYhSKWcdCFNMKRdFFQK1lEHcQSUAEtNA4PBjAcAiKAlrzs4AY7kEIRBNAhCZxhAg5YARa4gIahQOxYJMNKD95zMYw9oBDPq4qM0mKHg5H+bEpZkIC1VJaFEDXojUZwQAXcYIj1cbKTaBpEF3TDpgvWaU7yG80AmSaqHsCAT34im8/oBCmn0WAEGyCBDYDAhBe0IAY/cKNzAtUqRwUQNqGhoJxMU7QX/ClTz9GSZnpAAxFsYAMc8JN0UinKilBBCQcwnBgiMElVCiEKULCCFapwhTvc4QpQuIKw8HATjBFPDA2IQ7q0gEQifQEJUZCMdHLgH+iBzgIe8Zy7zGUUneWAXVmk51ISICMgWcEAEmvIFx6wRsvcYG9QgIkc4kAEkRphWHsUIkSPd7KuDOmiJoGAHeqgFI+BTAp3GFlDDoClLGwPdA/AQ3ouo7ePJiH+MJ48KlIb0wfJaCo79nsbKt9WpwpCqml64pNyRgUrYb7qBsQBQqdGYAImqEAEHwDBC3jjKEu5yVRwa01lfrMbEURNBosS3PwgdYMCmpVPGxDBqiiomxR+JgfTgp5LH6AFKTSIYAOogAUiK9kK8GcKgoRoVYiYzyQogJ9IkEIQJvPE//SLAQb9Xw6EoAUWDGUj6IJmg1bLx+J9gQKLhd3cQDcBPVBhhafyQRa0gIU8aGGxPpCCQqSIMZcu6UeW5ReE/lIVCBBCplWxbVqqAKD4uGULV0BZVSSQhbsV5IE/1MMgkqre9aapC/UTjZ2G01T4isu3vxGcDVAzgk9VDTP+A7yvDUbQgQ6YwARfQ1QJeFM23xjkUXEl1FQ18wMb1OYDTWgCE2gQAyBEcDpOO001ERiCGrQmgNi5zGHpNgEyhkQKAjCAARrwFBkfwAADANIWvHO4ljZEQV4QkRygVBYiZEXCalFKfL5QgdFZUbWslcsXqhiaYLVLeUL8wgSwAKSb8rG2gljPugZGhSlMQQpknoKDWGAs5laFSH8E0mVNogY2VEUBdeAYlBNZPSE3xC1cwMMZVCfeIBC2oQnpA3sTvd5B9OFnozzxiY1JqJ4V88NF6x9sizk/uW7mB/sbMAlI4NfUlOYGsQGWV91oqbeSElKCgwFqxsqEEtDagaH+yZs0UYCaAW8Am5S6E2hYCEXElmUCW2CsYbUgAAIoa0c6CsAFusCFOHulpTkx0kS0IIcGVGUBnyWdFX+g3ShtREZ6YZqTW7tFBoEkIe7aMZE+Nqw75NZjWqDCMcmjHvLQhNBUULO1+/iw4+VhAlUxwxqqgoA4WHcpHwvZHCDQlrdcQccmCQMFxnsZ8wahC+lVNMiPOgh2J63knIFvZjTttBJwoNdAkB8F4bsbLpGmBAPuAAl4nRoZVCpTKsIL0zpcNUEJqjgs/8AMZmBg5CgnNE4D6wc0IFZb+joHXg0oZXxzqmkpiUi7DS2vslABBcxWDAnIwL1zDMY2X7SfXAD+UhRVR2TJaAkkNh3ZQ8zCRKT9YCRSRFZHQhsorTy5j0m2LZCqUG+MWkAQM4l5Qei0HS6woLNsjpi1HvKjH+TBOxAywxus/AU3/AHJjN/CEKhgvSjRxQt4AO9SKIAFyjUotXv4eMhzrz5Q6iY3wtw0p4Gm6d/0IL8b5LnMW0OcG3h1B0KoAQpwfnOcw8CuPWi+rgTHGvv2l/hNEDAJkr6Bm6OgBvQzFKJGkHQSaCDBom3OpCnTpSQ0wKVY5iIOpJAFChjrYRnYAhcIAq0IkUkwgBxk27b1yxfMnQoJ1Lh9R7lNzqhcROE5ROhMhHYQ3t9Vm8PhQchYwTeBDgXogQ/+bFqwAB+sVAjA8ZjALYkBYIUU6EEEGI4Z/IHybMQa1IHDwAuT1NQDmoROacHreYUFXAHpiAoOCAHu6R4T3swg+AykCU3yQVrMuYw0bdAHrA38EN2UUQpv3IUGSd+AmQAM0AADNQeq2EAulYacJI3ycYngMAH4mYCo3dwIrE2w2EAJbJCs2RIM1F2kYE2cdAFn9QsCYIuW6B8F4ETmiQEaHFsWeB5mlcWCSEESsEWSRYsVxYbe3BTqbMSSQZN5UJ5yiUG0hVZlmM4GFg92qQVBOdzboSDMOQflrRndFM9DGEAVwNkMLoUE/AEZLAkblF6/2Fbq/WCfZc93BQgW4Nv+q3hcE0bjzayJLMZX74nL0DENXvzAcfQJ1UBh0XmYNO2hgPGJCciADTjN/5zNCZTA0XQfKd1XD8wA+OUcn0jfbeyGp4XABqCADFwYaqzGpLDaMQUKIXZdWdhWaOHAFOwfD2pEBG7BFoAXZuWEAhCBFwhLHNQf6BDZJjKNC+EUssjIFLBQukFZ4B0Tcj3ZJGIU4lHBHbwi48Xif2mGV4WEFqTBAtwiB16P3QSJ52mEGQACG/BRGfjBDp7EDslKMC6FTv0Z7H2HBcxe0iyhNF5lmUTG770G/BxTV64QWE4Gg9zFnvQJmqWcYHmh09QADJSALVHdCZih3uBVagEBDez+YWosylZ1HwudSg+YAKgh0AjkXAdsAPIJDl6awIXB2ggAQcto3c7kDyFyW5JNQCzyzRYIReY9xCNSAbEQoEVGC/VcogLKQZGNzd0tjwU2SZPJFkoy2eAlFwFi1Bkc2xAoXlWEgUEx1kDypYOkAUM85GyKgS7C2U0sBXVlAB+pQej1SyLJykzpxJQMYfRkCbCAhN5YJVZup1K5D1rCo2BlBv0gTUV0jaeIzV5mndPlABDIgFsKWAf0CQz8yf84ilf9QA24ZWGO2IpUVTaKip7YYQmcwAxgYT7mGgeAgBk2QQl4QFqJjVsFn24wZBIQG0YZG0UIyxVQgJWVRUdQAR7+9GJFNoQCyMHkSEGQqeYYMAARYAFFXEewzMF2fYeSaUFJWoRC7KQWVVEFJQRLzubHnId2dRkFxGIwVYRXFZMXreJwHo8M8hEEFIIbBKdJvAELMsliicz12MEW8JTqTGVv+cYPdAF3lumYhBJf9l5u0MmqlQ5+eg2mQaag+MbG9UAMmNUHkJ8ZsiGXQAd7nsbNfUA+Vk0KxYmmFBB8eg06NsEGccBtFAeseQA2NUEICGrdXc3QUVAXLAG36dZiFcQUXEFceEWU9RCxUCkHXptEiEgU8eBGwEFWnFpDSYGMkpveoZaPKte5jE4XrdZOtiSyZNzrgCAfLYBBuU8Sbkn+pylrsOgBBiQAsA4cDJ5qfJBBIbQB94gBG6hB9EwPF6zF9WTP6yVlQ5yB6wzBZUyBdpopuxpGH3SBsgbfb8QrBhHdpESQZbDSBpWA/7xGABFW0b0ACHCAHZ6AXjpHqeyGDKDAPZLAByCfG0oVZnQG+sXnBzATEDAqajjQOHYACMjAAsmAB4iA/5TNg0HQVFGBEcgkskjAsYVElaAqU0gO8tTTw4xBA5gokKRolPSTdU7KD0wBaaGOWcTii7qmFmEAFaBiSIxE2UEMlk0OdyxesMZiVxrEr2iJQaiIFGAAI93s4RzALgYJV/hiIdABGGTEQ5iBcOrZrIQrVIpelkn+QWwECzS2K94eBihpVX9pmp82WIT65R5uQNMVk3wVSgtwAMHm3Ai844KZCvRtgAbcEnJ8CiCmJcCSymwAJtXdxhQ0AcN+wJ8AwQwgh6IYnYNOzakJyk0Cm2HValWIE2MJgQ9wwQQwUnyAwW4+aSQRz0MkQLQg1z5FCRhgAAky2MAsQXQ+xCHqAa7WIpSJzuUmRI1E6xcIQLqoRS9enGXqDZfIybgEwXmIL6/cQBdgQKc+pLMti7QCCbW+FB88idr6xZdOzrfymVWIa/LELhkJgRtNAaLlrQCzj/u8YffV7cQO0GwckKMqWMw9mFz9gAuAQPQNGAq8XDaVig6w0lv+ooDXPKwDWx2BFMrWsGcFb0BaxSH/LIpxIMcLLBANgEAIcGzt3WRAvQoONM4LqY738KYPaMHtQmROgAEacAGVWJwQIQAAIEEXSMERJZFcBN5Avo7yLgkCoEGW1F2a6epCyZ+P6mgSI8AYmUdFRcwXOMCnvo0bjUvI5FDILG2LzFTuNgADMEBUNMWVOqkDxNBL2UEhSMDTLoX0ODHsAqG4LiKRRICWodvdDrAj7y1f/hpsQGapxNUPaNAGrQYwCcq9QpgQxEAL0CECmdANR94O5OcItJ8MdIqgZhPcPEqk4MDt1JIF08Bc7o/L9QDoGk1xQI2ikMZsxEDrRnI3nRH+0cIUobXR/mEiC5Yq8oDTRnxB2oJBHR8AAURL41CLcF6AHlDV68QdRF7xQRUE5XVZR1AO0/SdmvXLQywAAxhM2jKAAVRAiEyBFRROItsNm7QR7aKTFVzBP18BDyDXBbyLQ6hBBmTABSi0BaABnbGgSh3nd0iAHfCBBGyg+jaJljrlW+DBIvZLBMBTEDBkADuySS8VQXbfpGgLdIhpD5wAAqmG77luoAQLENgAPSJQOt5JR+XA/kjdPxZoK0fezsANsHhaORrsqQABDFCd0+AyCthAHshAbVhucbiACMQA/kioKrkQEveZHUiBZbBLBTBz22FxF8jTbJmBZLW1BQz+QBEIQTYfwLFIzkhfRkIkIOpszjin2WytQIpoxhcTiRpYQAZQwBlYwARQQAUIABH4QOplwQA65R2kCPz0wBQcwQogAQt09mY/thagQWeppgQQgh2gEx7gwRzEgRpA9B0s1vs6BEVvQRqU4pLoHXK9rVNmDxbERXxcxUR0ybqadLvynoklDdbFa9t0xoR1ygbMp+/BVqYWHy7zq1ZtrU3voYPGQB6UbitXUHOwUFz1AMW+AJ+AMKqw8gvMRoFugGLq4TX5z2zYgAjMcKMAy86k0A/QW7bqFG+yiwAkAAIEHLJkwNvlASBXRRrUwRI0eIMrgREYgQ/Q7rTQNRjJSGj+6TcVyIG3tHMaBHdsrXNO7CpB4DUXJEW/mAEd0EGDz8ESVIESPAEUbEvszBYY3AEXBEfQEgGMQcAB3IcDDIATcEFtQyST2IEXACAVSKRMPeStLJYMKhdFCwIcYDToDDIVFHJOVcGfjSoQ4vhMlDRxOzJKh6eaurLVgNCEfTDyYRBc2WuwFMcMIJAJOI2EUSwmZ+GiCHVgBS7MgcZVdYB1Cw4QhC7PXZX6NQGscQA6lgZTyzCHMVh6AssU3MFXi0EBTAkcYoEABAAYEHgYGLgU5JjhfEEc7AFaAAmQvJ1cMyRpEckYlaRQcQESgPHvIsFZNkg5g47oTEhBiISIY1T+BhQCWlDBDqFFEESBDtDu/oETGGh6BPmAHgxAADTA6qxOAAhAHlAe7uomH4QMeniBHVjel8P29jqE9yBJp7Iz42Wp9fx29miBb39HyXSBDzTymA+wmkBwbwIbnIgpTUiTgPVPpdTeLN4Xg1buNwLoCUQNM23uB4SA/zjHcQvdqeTX1ygHXhSfLSWQLr8lE9BjajCBOuqJpH6En/p7Em4oIxagHHSBlggLEQiABVjbkCyAgU9biSCMHOxBTwwBme3N3nSGWghZTkyAEa5Lu7SWGDAArDZKiPefBSqtr5/KiaPR/3mB36DHeSShDwjCceZuEniBqAiLvCfAUIBBA1T+QB54QRq8yM2fRU88R+o9wWjbyrTOIIREAB7oQa32bt5NVGr+NpYghY2PfRD0wXDnO7vmjHh2cjXKsiznRXEwEAwU5it9BhcW5LzShA1EX+NSB+sKAQ2E7mrMBsNa9+S/cr9XhAZ5jS2TR3WnI9EM5gygAFCXRhyiBn+lvM+ERG+vHRjAAQZiNg8sATAuT7yI+mf2rImmR6mITaNIhk1J3EM6QBVQAcWeirwzfc6uyWuoM6qSOKwMC2slmdzHhmSoSHok4bBwKJE4PdlXxOvggZc3hER1wWqt+xhg3Hi1IUAMSUJgjBiDYg7ckSJFz4MvB8dEuLIFj4QvBQ9mFHP+hosUKnMgaDwwh4uWDA8NFlSAZA+VQYdgxpQ5k2ZNmzdx5tS5k2fPm4OE7NiRg6iOHEOF6hia40ZRHEJ/2KBBQ4aMEh0+wADy4+jTHDiI5jAaFuzQHjQ+fChh44fQpT9u/ICRtkSPHlHp3j26NOwOsGK99pirlm0Ouyc+bDABpMeMDh1GmMD64u6PH0AQf2D7Q4dSvmEBC9Fy4SJGMV/QaLF8o4eWLYVCiik45kuGkngmXDwIRk6WzkqNlv0q5U4E2ccRLhnyN8cP3GA0MlgiRSjRH1xYLMj45QKX5W+3ZM+YILWPsEKag75uYcEY9wbDsOCi4weOH1PwREC5O4P+Fi0sEoBoAQuysIwrHKSwQgHTEFJICi30y0giLgShQLeUMPzCAi2moKKKA5BDyA4tuEgDJYzCuMALL3xq0cUXYYwRRi+C6suzozr7rDOwgJDhhBJQMIGEDUaQoYev/AINNLCUeuqHHmRIbLGidjDKMiBK2OADIw2biwPKuNIBLOaOQvKoHrDU8oQjDcMSKxjQvKoDErBaSwj0zgLhgxOaCFMpJYka84f/2jNNQyyE6MG+LriwA4LZ3KuNiynyME62gr6Qw4shOhMCBzGZEyK/S49rIAkphjAsB+IszeiAJaYo077/LqSNBSpSDfS6DLTDiLsrgviLq/r+vO6CXmf+G3CLXHHwAiSNTmNhi/8YgEgBC6SIlaggpPhQJDsWgvBCMSLAQgrsTtSItg0fvANE5EaiAl2ITrPAi5dkzFffffnFqY8phvrLKKR+s9EsGkwYoQMiR2i4BsvKXJIovsTc4bLMYLDsqSSbq2GED0Kw4S4bSkgr47b8+izllBOtoQQOtuzBLBs+HoGGHppA4bGFRXiYsyCAgMGDD25W9E8y//JLtBXCeM+gL87Ag4pAqdjCUdMK6k8LLPRzOtNNO/XKPhxwwO+M0g5KIA4tgvDrvjkagLYBhaq0DjvtUuKOC0/D+iE8BZAjTwspwNKYWKOG4GKF9jJ8IItcg6CCjgX+IRpjATi2CC/Agxa4AAsD75JCiXcPMqAKKh6M8OlytdADjmrpPQ5qLqjwEETTDhiRCzjwlt0CQfoNXvjhX9zDq4jdAi7JKu2zIQSFiYx+Ma7KDE5JJr8yzGUNiJa57qEsG0wExs4aQcvCxIpYyeB2OCsxFGwI1P0P4EdTZzpLoAEIT3UQgoYQvsQY6lUHUOehghwApxEwVKELQbiBEIbghSQoYD+0sQ1+JnCcgiQgCWATgmU++DMd+AALFmiaaRBggS1QwQdC8IEekBA3kdDtLbRCzhfkk6tt3Q05CMhA5nQQBE79pjNDEMIBe3ccCFhhCjfYgQ+8AIcChMhyctj+AhcwAB3OYYt6zQmCEhL4NANYIVtakIBGzmAuLiwBcO5hkEE2hDo7kM4gr/KIHDaHnAwAj3h99OMfYdKHGgXKYH+qksWA8IIRaAAr5hsSnAoImrFszD7zgx9nqkM2w7xgaC+40gkUBoKtTIw5KUNS4aBEFyBYRzBS2grNHkMCI7XFiD04AQdAQAPLsCl7ZOrlDw4Ym4zwhgttCUIQvICEKWYkDP2hVNcOEgY59MELU7BmtjpEBWtSYTS9ysgZ7OCFY1IBC2hAALQigIcuImheeVtBMZdin/CEoYdp4AMXvKDNIWiTCtWMIBWSkESDgCEJe/DBMb2ABm9yzopcOEn+RgakBWb9oFtaLB0ewqW605TrOo4aF0Q0pAXUPQteS9iCFOQAOw26wRCAdOlL9zUI46lKZtlzy8TMEqW0jIAEQ2oYlwjpS6Q8BU+pVMtWqhOwH9QABRxAAflsQIKG1eVASCkKaAjYgxdoaZY4EEKaYvYDGoAAMjJA6p3c96XKEOVInzHTxKiwBDo+jQVYmIIQuJUFCqj0abbZ2gNIJQYwxAEPmcNCHvKghSy4xjtZcCiyDsIAOHhhhXuwg0U0ArXBqceGecOAd5jjtwy0UTa1sUNhFZu5qmXOI1xIwjIhAoY0eEEKyMQDGSx6EAUkgQvhsei6tLCj5lBhdBox3UL+8gDYbzphClLYAgXO6TQMSaAjVJijSOaAuiTM1Qx+gOl3wesioBjGLmxtDsS6kgOSpWVLPlLYCB62l4lJ0kx/QtMLYKYV9TwpBzotwX2AQIP3wgk9803fksyCJZiJjCvzC9mT0AKZJkhhWFExAQdsZpmxSAxQ9umWMA/yBQnYgQs+6GcSIpDb09gmdRo0yBrgIAc5xIEIcZADEWRMBCI8QQ/Zka4YUhhOL+xurgahQB4OZDcWVPAL7+SKUrFDT9OYoQ0ytnERZHxjHR+hUXwd6BnmoAcv6CEOsM1IAexwxYeGmECcEgqCiusqBwnCAfshl7nkhYZ0bSeOUpArdqn+EIQqQKCCfiBEeBGd6J/swS49qEEMjoSmGDAmSVD62AdeYIMmzGBIJYhv9sjSl7o1qQck4+pdLPakGnTpAyCAwRRKfZWP6TI9EZvkxIxS6o89dZeC4cAGwCTWxIygT7u0ASj3hNSxNAXUQQ1LELIQgSQWhAxw0MO5BIGBAtj5NN3hQnI/GgYJSAACEThDBMwdAQc8QABE4IIcCuDGjECADnawQx0sBC29dZGi1AKpirq4qi081GnihkC5I3AAB0Bg4epegRauCy3Z2qEQS2APtBBwAIxih68aelxnciDEP2fEAHcYHIQ0wlFuajtEGYljo+Y6Ei/4AA8H2I8aAKH+aJ3vHCaDuAwQXNAC8tGgBTEgSlyw9LFMo2kG5jNB/NS3vkAxzy42QEFa0GeXGLggTlj/IBBQoDDNoNcr1rve/OpSGVMTbZdROvUUotJ0p97sU26NZKAe5JDYfYECScADHuQggTxG068op6IYFoCALyTgCwhAwAIWUIAAEEEPr50NchQggSpnwOZvxOEeqDesdtI10HuxD8djh/jFMx4BDGg8GAIwAS3g4QyBfRoZ0hAHNIDhIQxKQAROzoKOE0gIYgo5cWNucilUyqJQY+4QtkAEBsgbjbTrVsyzG4QtPGBzY3hDS3kefkR3oUciCAGksRQCrp9XwB/IMJokswH+s4aaOWUximfAYtSnsglNLRgfzT5gfK6kYTagBLbCl8TCrcxiMIzkLiyNfvbHPqLE6ZoACGzAKrTkBRgjAZetw5TEby6OVGgDDCxADtJAAlSsrzoC3C6v5fQtAOCgD+RKygwl8ySAglxQmqhgWMAiCHgobwBuw3xwtDAEWowwAc5ACyoEbbaDDM4ADMDgx4BMhTxCPPKGQErPMkQnjOpI+fKgzvImnSBoC7arCF1OpLTAW1zldJzLAqIL58BP/OTwpQahCUrAA0AA0pgAgITOYloJ2LbiMlCASLgkYApoLA7JPnoEwwywwUotBEIACJjA/dLuSUpgBDgATgJuvnz+KdeyhO12CQY4oANMoAfE5AcmkEhOAAZKYEgKkMFwxO7ublAu4JwwpCBajwwOQKBCjMXEhUEuDyOkqwHiwAvmSMouBVMQAAyiC1oUoAi8IOCuwwpL651S5c18cMlccBsHygLyYAsUSgrFIAESQIveiAHk40FYALbWJQukIHso6kPsbCQWQg806s6kQAeQr/eghbpqRw0PIl60rxbFQA3YYA4REqacoKlEoAK9ROgSBUs0IMOa571WKeqajUrq5jJMYCJLkf9owANCoAl0KmMi7QXS4mZAg5fiSUmAYNfY4oOsjqvqozlo4DEapmE+YGFQgNbW6XqA0oukQJnU5Wn+vuCjtsM2SgKaMgJrfiwB4MA1JKBpKscIoQUCnmAHbSpxMKDjPoszvEL7MGChzPAILQAPtCANGMcIK4hBGEAOFgKLYCdSLABRyuQHgmDkAtJBxAVDygVVhiA/+FEj2OX6QoQer+N1xMAMci4hHdOPAkEFPIAy7BBmwATtfEbYOsAAr0pVDAxJlAf+8uvJcgBLPKAFmkAFtATS2gS/IpGXPJCQhsJjCjAQtWoDNKAE+uRTosJ8dmYDgHME9Ks5xoQTC6jSdgCl2JH6rLIXBwcPHOKNgFEjEkA+vMCEirI5n2bEdOjNRu80MABXyGJX6IkbXZAE8cAL4oAgsrNyGET+AaZj+TAgj9rxHfGuCriwQfqtVU7jDO7gB4ZgCLIgN6zSH6Ug4g6CABTiOl6rDNYgDh8zQvvFEIwABWJACpgAE2PGLgZDE9tnBoikLt5KSZaiOgYm1rTkYT6l1ESAA2SgCVr0A4AgLkrt6tbk7jjMMNzOBJoATZigqUbgBCJQB7qOALUkMgRIk+bL7o4HNDwkAMrAjcSxKlWwJABLGN/oCOOAC/aAd7TTKvnOCqZmKxWHH2lDRZZDV+6mBdXFaTDlLL1gBp2yKBkEAhSiB/QAAwbT4wJOdGIOXFInXSJAIXQA+ixgMM/QI0jqIArgDqbAByiiANjgDyS0UoMnEOD+JJU2AARq4C6wBGREpjl6QGf2pKaYlGMGxkraDwRsoPjoI0pAoAl+lANEQFEuA1aBiq3qjy+WwpaIxASYgCRLJgBvxlWfRAb0REswDAZuxqo20ar6Ir2+Igi0wOYuRQ2ytCkxxDaoADeQA1K0dTzWZo3y0yoZZEDEiXr+AovI0hpPSQjCgyzb9D3eFAu4oAomoDxTQjq1NQLcUT4HTwwoQAsK7CuGoLhwxw6CYAoM7yA4KkDDY/r0jbo8AkG7MHS04AzSgI8stWNlRBDyQApsaae2QhLTolbVbie3pC0OjCWlbgdYAy3oR2bo4wcuzABloKn+60pMgH5WDVBK1Kr+ksQGRAAnTWAGJANmZqkr2scGXiAEQGAERGDpQi1aN+x4TOk89qACoENKtVPemolDtsAisPRLxzEOFkIwv3ZfDUIB4IALgiDgdOA/SOtMN6UscGAIadAI2bQ/XSMLLCAB1KA9RVA2wKAC9MAy5sU0NgTUgOkJuHAMciejUi5kd2CfXqssNWSFPORRSE4JYI1a44AOPLZ0ZWQQ9OBTNUADb/UD1MowUFFlmxUjr2coxqKVjqozoiJLNFAGMNGTcABnMFFIaZd9ymJmdjKWhuRkA3FiPsjRXmBqaUBk2kpiFHDq3Oo6kCBAmLM536OZOgI6v9U80wYJuqALsCDfUi/+9WiDAJKgCxSl1nKAXW/oAsQzLH+wb8EUC7VgPs22CBnAfONWLplpQ8zi+OIsIAGVC+5xULliCESHAFKP707KQyindJSAwq6DEDjWdD24J1AX7DDRSKYgkWAmM29zBFDgYQiIRF34K3rABVwXTD5IBpyqU0uy7dJCBoozWkVNWMRKYXYmLU5NYwCj0SwQCAIRZYA2YEpUvj4wD+6gAVJwbWtDCxLrHv83AcxXCrDAf8kXIhBAAjCK35qDgH1FPoxYnrTxf9kMC1BHDqjYjevoVBS3K6VLhTiGWxK4jqogo3KLo+rDi1NM3wrTUYyrCqagbSjkgx25RZrA/TTDLnL+BmQaLU6AsxFbODYBYwETg8DihAPSbgZ2cgaAQAoU7AMehtk+c2VQSVPFTks+oAWoF0fs60lwWS9kESn4wivcwhANg/nouBf1oAe8dZjFoADkYFK0oAgC9ktTaHCExTryoCtv6Cs5KwP01Y35Lgtq5w4MQHC52QDUCS+7wMeiiQK2QAjjSob2ksL0wAEgIgw46rz0YAJScHYW4g7y8wBOR0z64JEFmify4OrWouoAaGcZw3kgI+1uimM+U75YAyXlLxAncUtg7QQ2oANmoAJ1injZ5C+Ox5fugqJJIDFaTQRuhnp+w6tw+UnWqmqh9ap41S0K54UswJ3pOAwsgAv+uqBSuM1sEQAJikkLlIApzVaZ9ya0mqN/zfQLMEBk+auphQ+ZPW4IqLUCnrk5NQRudyByfIxxlyU9ILiPwcCfM0o33EMi+CYI9gANnhlqipk4Ym4JqKB/8GWg9dom+kAFks1H08KTyMt3FyZjyiRrczRH7CJLhJMxgqbVbCCjNxpYmaBnY+atPoOkLXFoTiDsQqAEGpBmicgv7OKli2LDyAKxUzsBreMHuiAO5thcM2JwxwAMMuDaoi2ov3QlOkIIsuBY3BgJyWjDavIHqnlPnezoDIOA6Zg2KOBxEieG6LgAiCAa/WJNL0+FhqAm+Vin9TNQIeUBruAag6ALpDv+s86gC1zbXb4FV1hkr+G7JhZSBkQWCGYAD4sV/txPOAcIR6fuT9JkBEy5RnOzBxJFo+fEBBKGVgvjWWexB0TAA0qACWTgBWCgBi7yBoDjNyDaRnJkYJqUkN5KOLalWxzAFqHFa8WADWSDAfrDuZRrmC+nmCJHDgDAxfR3HLm1Jb9CNLRxNvYNNKiVGv+3HQN0Co4axbUTAR5AaooIuw+izZ6Mj2PudKg1AmhwDCAAD4TourdLxQ5lIeZgrhrApFwivtFcJgTBCHpUNEMmBxLF6nBSBn6Ab8zErQQm19KEo4GAJD+GzhNlq5R3h/fHOpJmFp+kBU4zD2qABjqVv2z+l4iAY0mTR2ihNalwiml7XAqu4AIGD0sxAgHMwA3K4Atsm3bGNsXXl3PeFq+owAoIbV/BNSOIsQuWw5fUsfciJYfIIht5EZolgEPydgsIMqml5Tt8nTC92f789Fsip2GpTWrEQgcOtMhCap8Q2VXCaQ/SvNthIhCaAO4kkjMThbAhQ5eWZy9kMQGHQoRJsQloQAQCUGSCQAgEnU7MJ2S8pyanDkd/IAZEgOsE6EicqEqUJymYB6eU57Crh+EJqEk/Bfq2S6XoNSMQAA3+AAzKsT96C8RknRslK3GFiAuIEsdDJAEswFER8HKxCG3OdAuC4s2gjwXK9UsPJW4jpwz+CVewHOAJ5uMrpjGJSBALgoCU9pHkwIUK4rmCIMBc+GcI7OABtrk/vaNR8rMBqmAPAtrb01wQEnep8iIiYSCWOoAtOOaXI2kj3WQDSGAGEMMDtKI+hAAGNppOtEQTWRZ7WxiiwSIGJi2mserDk2LDk+dGHJ7hN2ymf2MLrnPbkjGzEkAOCuEMqFgpt++jsEZL1fuJvAAPDGAu11dt8qDow+JIjMIHrZlzWMALRjtxLqDmtRPlzWW4ABf0VVwMAOACVqhmB0X4otAgGoBdqER0DGA/vgAC/vhBHMCdoeZzgqVQn8vLImqfniDWnyYhtp7r03wQ4K4GZvhIdnejIUP+ZEzpkBBRpoliz1V4BDxghe+if9AietRCl8LkhTF9SZnCM0GtKdA+LDzjlwFiR46BAgXiKJhDx8AcO3YcbLhQh8QhXpZQQCBmTEYxHMd8QWDBDp8ICQJY4EIFz4MFX8R8eckxZkuXYhCUJKLlxw4hQ7YgiYBxjMaOLhdQ0DIlyMIeDHfoCOIFAwKYCxas2CIxBw4cQbasAMCS40yXY1siAJOgApYfP3L8oCInQkuNQjNqREAhCZUgDnv84IIhAEYEDRIIyImDoQ4qSgI0aPnRwBMuUrQ4KABmKgIHPKbo1NHTwlTIH49SfGJg9JcEBvAMOgQ7tuzZtGvbvo07t+7+3bx7+/4du0+PGB8+vGD7g8aIER1IjKDxQ4hWiAIZDky8cOANICc4dOiw4QMIGEDaOqxRIvwIFOTZNsSeGCFE6w3n52Da9KH9rQ0lVr9+nXwC0tdURBN54dMBY8UkBmtJcLHFAAYYsAIVPQlAgAIHHKChAg2AwQAYYHwoYhkHGECEZwkNQcUdFjzGoFgK5IWSQ/cR9F4XKxhwQBgcUmihQTtRsQIBECxABgMKKAAGh04uCQEDBgQwAHJaTXEFBgcssNFGXyxwQBxaUKHQfT9MQcSEZBwAgQEDSPFDfDkEAYUDBhRABgQECFCFFFLkIQCPDURApRM/9CAEDkNwkWb+AxxCoIABFSQ1RBR2HiDiARW8Blynnn4Kaqii4vaDDMXB4FcPMGgwAgkdjGADU2U6VF922SmEg6ofLBeeCDX0wJRAQLwQwgclnBCrTvYRxFB8AimkQ39aLfSQdQDaam122GF7ELPdMkuQRKBxYcUFECTwhYiZJXAGEndQQUURA4RQhBQ+SLHCABfsi8a+/vqLAQb7DoCBEUxtlcMUWBhhwQHoirUAARTIgWC02lqHgxTyZnBBBhkMUAQV1ebAk7z6cvyvBf/ua0G+RBx6oxBULJEBh2GJwQACD7BQBRWJTstWEQIQfEG+LUiRa3w38DCAvgOv0FkPUbTgdNNE+ND+Q2I4yHwE0RZwjMHLQggRRb7+DnCHIaOuzXbbboe6RwwcjPCCXzaUoIEJrj7H1kLz/UdtfbnKEMIG4RmH31IxvPACDLH24NSyzD6LY+TROpWQ5La2hW3nlCM0XXWg17oiF0ogMcEBjjXQwAQs3OHFEJVCAQUPQgRBBRRWWFFFFXf8fsUdvvuuxB1O9F67UjnckMMQCieBQQSsJ1CApEk8QaZEbAVb3dY8KNH7HXZYEQUV2h1c6RNWPDF+7+7vvvsVVVhxRe1tMcU8FV7cgToBBRTQAANQAAlWGNO2svYDH0BBeOAzgg+mAKAdsOV4w1MCFKTgly7wQHjzewIUOLf+vK1FoXi/650ToMCUIdBpd3i4gmveBsMYylCGg3DCqfLQA8JpYAYm2ADfIDedZmluOjj4AXqKA4IXxOpawKpBDJLVFotdi0BC7BatDtItrU2xc1zclq1AFyAu7iQIXFgYBiygMgzIAQ9ImYjzgiAdIbzFT0jx01uokBQ4+clCXgiCD6gVHYVVgQgYcBoSjrAFMg3BYkzh3H+EIAWUoGQLQQgC8xbyA9BQxELwgtcUpNBJKoCSCighk7bIyIUrQE9lFcCAErDAhSko5D+JwZ0XRClKIQBueT/A3Zg8mUC/7LGTQ7gRJj+ZB1CixI4LEcIURMmFPcxwmtSsZqfygIL+D5CnCSUoDg99KAO//E0+0wJXEXtAgxaIAFnA8qJbUuWXTBqEWwISXH8wNysuXmyL2KJcdgoiJGslDgdTUJgTnDCH4o1JdjiYiBCiFaexyQ450RmbRXkiO+cNwZ1smUIXtLCwOVQBC1KQnX/uV87q3GAHzpNjEKaQqLZY6SBDkOhOxiYFnkzBeTANguweKkG3cAV3VACpEhDKA5TwpKG2UpRGLTS2keEPpj+1KFMQlVGT2ig7FcUoJGE2kIfKcQqcsqZZz4rWQwxCBSMwQRNM9QEU0KCHdCuPI4MYOmt961A0kEEMkEMrrm6vodHCzn8Q8i2/Ye5b8Jli1vSpRb/+JTYhYSzQtA62vDF61AujjN1GFaUoiWyFeRKRo3su96xFiku0lwQoT6fAhS5QoQsm1cFWIrtVImJHB2ODo1viBNxeJsohQUAgycYWna2Iti8SvMFWXurR2Hbhdoss4vJukMkb6OAGGxXXQQq7rdvd1j/acYpqJXJJpUXnMztRadYaIjNppnW+9JVhIFJAgm8aa1iGK0EN2mJY+tCysu8E1qHeI5BLDiROCSlTgBILuMkKabL7LCdk/YZhHE3uOgiUTla2tlMLZVQiVOVJewviH61Fbk40VW1NpbPhgfhAZlTwgc+WqsufITilUmzoiz2TlIoihz8kE2pisFs53lr+yaJBYAucfmDSsemAog998WovZ9simhYHNwhCt7IyndU+lC23E1ecnHI5hrRFOpHjQlnrC+c4g0oQTmgVeD4gAyDA4AMd0OZj3WmdWf7TuhcDc+gQluL7kBdjAxoItLKFq+5BdpcZZvQ/85qdseFxbAUNghQKWlVO43GnBeW0RQHEE06zSKMvTtRKaWUQVeOxq2OTlvIChFqe3DKWXOg1ZbrQBTuK1cK2itZFL9pqMjdZohfNaUvlWOZZ0eqi8HKmLsm70q2ZuqM1LfFFoWztUguhC314s5zPje7d3Pc7xrKBFJhQnA+IAFhftKKjB40dECamsNfh9+US04NFZ0v+n58z52FrxdiAXvpb/hRds0gGL1CO6ZY+IOky4XUvH1CmMiD9Z</t>
  </si>
  <si>
    <t>senUIcpTKEKIxe5yK0wciNoHD6mbIkUrHAECzjAANAkQAEmEAQmKLx7ki6PFHRgBJHToQ50cEIUMFKDNOeHCVRgAh2oYHKRe3zqUK9Cxn+3g1RHQQt0KMIDBkAAiBcAAkCgg3hMifR7YlzkQTeCE6SA9sDsQAckZ3sTsECwn+tg5ExgQhNG9gMnBF3oUzCCDlTogyZAvQ5VsHoP4JoDLEwBBQ+ILwLKEIdqax7BgbjDCDbjgtjsAASLgQFcLPakj6W6BRoAUs9gAAIMmEAEW/Jo3P3dGxvsYAb+KxCew6J0mNvwYAYviJJf9l3WV9YVewfXMd0+83ymBfyRO2ZjFYZA5jCjIAh1wMJOnPYDKajENPqJAhSgEJInoL+in1Y/FMZI2BVDF+VAyL4FgECELBDWUKL/kqQepAVS8Drmd0qA52ROBn9bd4Dmx4AIuD02wEZaUAUxJ2Yn0AZXEICnRG+OAwVSIB7mN02CkXTnp4AcdBdJp34LeGcr5gMhcQcDmH5p9WkC2C3jh3SQ5IFWIAQoEGZxcFObB4R25HkXAxs90xYhMDA7EDF74QGmZxcqoBcs4Cci0DAxQAKLIW/rFknQh3YLIwIisAJR8iVyNxb2AxoPqDSSsm7+Add8dlJIytZWM8Y9c9UbzTcyUvByVtAGRtAGVWAFQhQpTmM3AURNenRnh0hN1BR+Q/QZeIgFbCZy47J/YiJ/gQE0Cid+bMSIQsISCoeIdwZ3T+CJHPRpnmgbkOID+nEdhTcFcmAFDlggpNQTi0hYd3aGN5B0plSKhygFh5ExteiJojVjOWCCmGh7GaNwokiMrkQy4KcFjxh00xaE08g7PxI9sTEDe6Fi3HaETvgELXAwKJMEErMEVwgksJF8BVdWY+EC9AMXKzGGk8IVWiQy0ZeOpPUluBJ3A8eFBkeHkfQbuSgbsdiCeNgu4qFwp9ReYlIDqeZcdLJKq7RztVH+gIQRfngYgAE4ibhiJ2tVN/toGH4BH6mojyJJJzugRaJ0KDVgGB4pJBBoAz1gkHeAh1FQAwk5GklXIDlJOuckGvCDK2KCi3ZTKMoGH7eCcCuZZq7UkrQBGl7SE2zULnxAjVXJO4CQJmsiA9VDPD31VBvghENiGSFgAnnhAVrBFswjA6N1M22JK3gmKPj4XDMGNEJJcL/RfHXlP7FIh3Fnj3FIN2w1h22ZJ3NVIMmChw/iic6FA7uIiPlzEUFpNHXCmOCXAyzHYzVQfj3QWthji2QVdy25XYT2AzUREonkF2MxRPE4GiiZMfxzGH5xiHfWgqJoZ4M4iFzREwyhcEP+syga6Is/0AMaKJqmVC7O9Zn50T2pWC5UFUsgwlC14UppM4qBYJXXmTsrsAR54gJgQTxDogEhUAIOZgKCAgNuAielxwMs4AGLsQID+RmwdHDCKIIyNhuAUZe28Ul2CEuDkTT5SB7PB0qiwWPx6T4Elxu3sYiftowFGQWlKAWGQYqY2IsV+pmjAYrEuKCjiJQBVyCJmZii2Iu4CYEByigrgYkPepDOYZAhoRKfeZTyqYi96Be9GH7BB5EzSIzQNYo3cBFCyShOUxMKx36LchhAc5jLGBIQ+pi9aGcGyUGzeWey1Js0OptSQJXYqaX8kgdbcRctcDJ+kgIbQAIlUD3+IjAwPLCVbsIBzNMyMuB70eMlrOQok1KRAXRK/RMppWSXqWaXdsg9eHmXfSkpheqPdiioTJMbpcmA4uGBPWAF3cKAD3J+6ocFUEAT6qcFNZgbL3J+ryMeH2h+n5Z1pxgYROpkmFoT3XJnQnNPc3pnQ+oEWVAFUCdySGByVmAF7PJpI5mUwXdPo4p+n/p+zMkST6oRn7qp5nd+PYBZoYktqegtAUgTTqYSwMlB6fcEPSCpTrasyap+Y4Sp4oGp6BcSppSsqep+JLil7cojd7AST8ACYcoCH+ABJhADexECScADPJAEeiEz5+iVUyJ/gtmXxjkph9I9hMKXtNRWzXf+YwJ0sP5Yp4RpSvypjrmHET3gBESABB+LBEFHB3sYskaAq0bAh1MQsm3AsiP7sVPgBLTpBIVnsh97BC+LBEwwLvo2nz1ABEwwBUfQBlPQBkSgcuRyNB05Rs5hBUZwBGyAAoo2AVP7ahZwAWwwBG3Aq+NxEXXCfD4wsx7Lh0EXskygA5cZGE4AtCtLtiY7tucKlQUCISj7sW3wsUQwBTK5Vj7QA1nLsnJgtzn7sSjLBCjLsioLsirLBC9rBASTik2AsilLssDkrpWLIwt2F/MKFiZgSaqRBG3BAarBA1iiFyGQARMjKETSASnAA385S6HhYyopSrOBPSd6M58UVwL+x4YXO6hBWmOvm7EiJrwJOkYS8AAQcLwOgLwPUAYT8ADO+wDRG73OCwEQUAbXWwbRKwBMcJlPQAQCEAHLW70QoLzIKwEV8pDlIWoCIADRm73Z+wAC0F/FiYs94RxTwAYWIAAMwAAD4AVG1FiIZQAEcL0RcLWeVooamGorkXgCsLzSu7xAYGeHOQXsK77SK70UMARQwJqm0QQWrLzvG79BMKI5AAVCwAAifLwTML7KK71lgLzVq7wOcLzaewJjoX7G+8DjuwY/aLk/DBV8MBZgKjNYoZ3j2KYhMAJMwp56sQHyRjCJ8QEqAFNKw26AKrx1U6A4428Gy49Ks8V44sX+OnaZWMAAAaAACtAFy7QFCxBOCwBRC6BpENXGkAXHyrQAA0AE4icFQRAACZDGy6QAbkxblmVxhZGT+nECAUAAdsw1YRcATBChtpFIdjNkR1ABlYcAgZxA/kFSJQRNCOAFD4ACQzAgFmKDuOG9YOfGofIsCSUBhPVRTXQACpBcaQzHkIUAgkUTGVGAP2AEjJxcXWDLCkAAAQAEgsZGfpxRoKLGtrwFCRDNjxUqcqxMYJDGa1xCERASP3BRYQfNykQGbwDE5RwVnaeEwqM+IPAxS6AYpgtUPKAEZqFhdXEoPOACKvACQOafCOqhvAFk0Uc3DEVjBWqPofQogrq7FTv+h3qJqDdgBQ8gzWQTOBFlEApQAEfwfj+BQDGxxl9AzBBQBxYiGC8CBAPgRV8AKnrcWrh4Tz/wQV5nXBA1HWQTQWj0AEVQBQgJhzE1BFLTTgSRABEgyyaMBAXgRbDiTgrAAG0gfthjSt4bQslkEF1AACfw1A4RBFwjHewREws0FJoWAXdAMFjQRXpDNWowCObM1k4hxBWmVSNQPCugFxigASqgFioAhp7UJbr3bUuDe/0sQDhKsWHcYwRHYl982MG7Y3P1A9CR0jRkLASwwWxUBIDTNqcyyEDwHriCklBQBAHATATBBQRgBLKMLXgoBEWmUqN9Kt+BAAvgABUAWsn+cigtKCLSMdSbOhobYQBKLR0MZAGXynIY8QRI0MiTXQR4d5lQwAaRbRAU3U9tgy+SI0Y+YAUWdBA10tbdvRSBgAczAFan60lwAaeb0QFM1TMuwK/vWIBxOSkPTYdYHLwiw7sPvcUCpIZzlTSGzY+CuYWHcTefI9nGURJbkEZZ9BMJICupgi8q7QCedi32WwTQ/QUEgAS9iChsNAUTMFuubRwPjlxoZAFMIC3ZIwVDIMdEoQDN4VFS0Aa/rSnSjeBHgDY2Yx5I0NHRrdJAcAddKwVAwDY8niDSbeBfsADrEhJWMAH7VBB/4MPe3d1sYq9iBRt2IcUg8AFvYRrfNpD+PBEbuvmRiD1w9Ouf9I0nI1aHNVagCg1wDT2x8Xkb5/EAcFTgMYFGcrCtC94FRY5NBEEAKGAHEcoSL7I20oHhqN2CxCU1IH7nEYcCVzAeoGE4DC7dXWBSXXvcKvLnBWFD2uUgR63UyCERXFAE4kdEbDAQx9HpNHQAM9GCVlAGwP0FaRDlUt7WeODOH4BvpTEWjwGGalEgZTiaKRRkZB7niW1wba7sa97Pv6vY9gi8bDViulIGjl7gJRQAbbCtUgAUqDIdl2cErIJOWlDhme0dC2DiuOIQ0hUq9IHHy7Qpf44ADRAE78GS4XcEMEHRmH4dvR3jGGQARyAFj3dKm/7+2ki+3CMZ5BZ+5wwURLE+AcB9BreD6xcfCJrkAoFiF9dCFi/wAmOuVvyHcHEI2Aeahoh9cPJdcAY7VXQlSjSWxSQGQF3M38iOdhdS5/RxAM8UytCkUrWcxgglTEOwrVjw3EYeEwuAAt6HTqAtQoizADpxFy14Bbpk5ySC4M07AWUAQQkE7qQNHnVQORqBBIBz6RWQBSwHBYcTOFwQAVYAd7p49kbOBShwrjugBUEwO1YDT6Hc8yQFcYBfQgcwTxZiUWUAOmdg6xfv+EJshooCgaJnYwlrl76rl2z+nG/ObrDU35ofV4IZu5+Pe6PvP2oO87EE4CVfVz5wB+AiHWT+AMNdf7203/UT4AAsPAHg21E5cAff/tUUvQUPwDoqoRHnrkAF0QU6MY94cNLNQtHxNAFrwAZxIAdusAYTMNF+fzUGYPSXOUZHgPavHQHXgRtREPBvTwBC8B4YgQVuHysKfweO8wSqjk0JcgbYO7XNCwG3X/v9DxAPIpz44eOJlQlfwHwh06fQQ4gRJU6kWNHiRYwZNW7k2LEQnhxPbtz4kQOHjZE7dozMYTLHSBw4XuIYCfOGDZM3Xr5keYNmz50tde70qbPoTKBGiS5VetToz6ZIiQIVynPqz6BGi7L8YefBli9hxYpd84bNkSNt2sRBgvYN2iNu0A6xYkNKFDb+CRaODXuG75cFZqr8uOFDSxEEYRfu/aIASZQcBrFMONBFMeOFCyqwqWPlzmc7cSgkACsWzOItASxA+YHjBxQkCRT+7TJBi0iDbbz8/Xv6C4IJVqDceKKljWzGYrkUeeKDuBQ2BGabDlvmTZy0Z49gX9vmLVwiOpwfLMPly5k0HtWvZ9/efftAUljGjMnzxg6T9YvKrNmfv/2esGLKpqeSisopomhiCiqkklJQq6ASDFAprApssD8fsHCgNN7g2CMLLewQUYs97NgDCxPt0CILLKCQwgYbsMgLM97EQsALI6Tw4YfDFqhxASS0iEyKIwxYwDfFxFJggiDvEOkJKLX+oGMCBBDoogvSEkhAgQQCEACKmH6I4gjzkhPLNihwiqINA2rc67SFuCgACCyiyLANH8faa4Ei7nDuhiiCUGC6JL9IgxAVVdQiREZNzOJDKKIYTrIJLFNDkPcy1XRTTjfiw4eW6muJJ5Roiqk/rQhEFcCaJMypwAOZssqpphicqqqtlrqQwVwhbCpWmH7A4qtCxRrjjT32IBGPPfhYVos7nN0jiih++AEnLaLDjMbkELDACh2jKOIAQpWkI4rm7jghzxoNOALEkmxY6QcprADigTIceMABCBqAAAJ9Jegh1CfYrHEL20S6AQrdegPDr8UWQ+ABKrSAAouG+cqsiCj+RvIBusQ0/mKLCghpVgtmmb0jWRJRrlY+nXywAoIuyPiDkE5z1nln+PCoj75Xa5LJ1JpQ2moknI6WtddfF7TwwKFgxfXBCyXsNatZl5bqVwW7ItZMhdaggwkmplCLDiSmmAIJJNB2otqXYMxWtiS5Tc5dKS4uYlDegNSiMCwo2ALssBC+Q4tr60OJXiuGYGOIONhwQ3KzghBi4MKgILPcsGqzGCUpDNYTycX8GpmANfBgEYk2qdtYiz+jAMLHbRdKAw626TACiTaMmMIIJsamgglrczD6Ypr9wJRn5pt3fqJAdBXKP/1uQronVVP1LyldoZ71QfCBvTXXAbP2lWr+p9CXECrXNAQLbDDIqGD++SmggP4KJqAggiBYQ8mkuempXKZTDAEoAK4s7O1HQTKIFcrAob8sgA1Z6EHiWmIDg0gBD3rgwx30YKJkiegOWHjC8VinEDPVhoQ2gNIJTfOmsRBwAQ+gw6Li0LrLZAYIzXlJtthFnS+EYQITMIP+7Hc//EngBE7wgdFIggUIiMEhz6NiFXcmharsxGj/08lJUoKqVdmHaBVyFYLS1zQDba1BuHIa1p62tPNBLVXC+hpvsKQAIy2AAAQwAAEGQAAvECAAEoDMT2yghSDo5YUiE8sZDlCAIeDBDnuDoFiApKMn1GFDnBuZAdqAB1AN7SX+PYCCFURoIkB8MEWAIOG8ohAbOAkwYTpZ025GVyy+KIANJjoCAcyDwtksYA1/i8wTBFWoxYysC3rk4wK4sIAFJGAA0hxAAZrwp5sICwJ+wJkVvfnN98AMjKiCyjittypzplOdYORJOVnFznXGU53tlKfQ6Fgawn2BXAjgwhb8+c8tIIAAEsDCtWoSwLothgwaWwgCIlCHPaDgh6ZJABIwKToCimULDqhDFHrgnJcYpAlBAAIbisCGkp6UDSZFKRB0gB8bwIZufyEZFkAaOhxqjAxj4M0WIAAHPtywbrMhQBF0NJJskctMjDnAL83jTwVsQQEKQEAAmvCEHeAkB8L+Khk4vfrVjuBBYeZ0Yn9Wkk77TG9CFWLrhGBFTqG5lX1nbOsY17oftOKVaMEa1vtq9NexLGAC1SoaXhR5mbCMQQ1jIFehuGCAOAxiDZW0pEUNYoScUqcLD7CDSLJaGCgNQQAM4BfA8JUvB6T2AQIQAhSc88rWcSsCsKOl6IoFBj+QobF86QIK9gAHX8IwLHz6Gwahs9tbAnYvcjKCa13SlSmCVbrThR4e+mODU8mzrHCNaz3rWSHvhle8vSqnOu+JS8D+hQCzJcxBE5nQxPbBDCE7w0LOwAUElEEQk+UNGC7pgzVJpzdf8JwOzJoDLQAhAFzCEmm20E8uKeAAATj+AexyABvaCZBkWRBJDtaU0+T0wQ8ho84WGtCHPhAgmbPxbxH+BtpjCjC9deMCAeqQJpdI4Q7dpG6PqcsHmMlErWfdLhhLdTSlkVeuT/tJeQkUPqsR6HvjbJCT36lO9p0XSegdsEIWwN6iQedIMvaCIOJQnr9wgQt+UANlM8PAJxyhAL9MqAIgwAcnyKsmH2NDAN4HhkqeJqAuLsgrywREMNgGpB8GYufgAAfByTgwf7ClxoiLkifgZVCkUy4KfVPjKVhraFrgg49NTV2Q2CS7qHLiFrOHPViP15wXquc7y7s1KmsvfHhdY028RtkZj2ULA3VtTXaA0Bx+wQB1GMT+BfjZF7EcIA1pGLB/2yAFa2GWzoj16R56cM6bZCsxK9ZYF4oKO4Mg4dB/me2i2QTsBHgoOhwioBf8YBkafWE5OkIJFmKczxlzIQChBlqpT33wrwbCuj4J2n2uF9e9+qpVXVxyk906IHRarcpxtfU4ybg9J8+zP8LaJCdHtoUu/DOqKx/2IKFkvR88gQ1j1qwBpoCHNlCpp2RYql/+G4UpFACCsfxCGezQA/bZZQ3P9nTfipAFwjBsppqdAAlHIgUX/sVdIZoA30pMbU5yAQW05TOJ0buFA0h1qlNNe0AXYE1R5wAPgUB43cEZPaGF3FR27e6rZe3xrYTcu+AFo97+kTyh8fFqJL/+axjE0AAH+Avy/lLtak+An/uEBDoqXmQXGkCFKGhhDQQAdn+9bNkfUIEBfiW3GM5lNJkcMggBQC7hiFsQhmX4L4oeyYeBbQA4gOgIDUAuI/kizKMS59+9CUNq+8UvB5RB+vlabRNKggMpGNzu269iqiP+8KGdse+8Djz2rBY+weP1jBrn7vffCk/A92cqhblDyc3EBTOYRXKSO8JKVxoHIQACJbCTPzEINtg2xdgCBqACHpmCCpgowjkNnwsSa7kCCFCAZMooLogDC8OJmIgCIiiABvACLpBApyPAMbEl4fqCqish4sg6vkCAKciCKMiCB+w0xxr+O+cAMDYYt0YTAzeYHP8bwiFsreKZO+5LwueJD/HCLptIq8Ebr/n7uwfJtcKbuLlSv+4qJx/wCr/iCy54g0HIAjIswzIsJSt4gkgBlZASM8L5PB/IkCMouaESGTBwDPnwgSzoOuHaiy0wA4uJPZP4ASYAAhRYgzQIA2CCNsBwMefQgiJBLI2apRc0AAQMCwKYgmrJAiZwALMToDdZiC5YgzuoiUDhG7CpAEEQkSvAglbEAlg0JSywghZ5AnqhOyXMRebBA3ECt+1yQiu8GjmSMq1wJ+4yn7aile3Rtfe7slmTP1TJkE0CGy7wEGVRlpZZFF7EAy24iyjAogvzoRr+gcMdqQJncx2HOQ0FaIPbuAEssABUXMSRKYNPqpYw8QEnoAJm+wNFZKhGxCTYaJMtO5N2tAsYDKw2iAIcyBAUULNGkjFg4hOsQglNGzCSYRlu5EaU2chu7EYoeAI80EWR5JmFuy5Wc8YsXCfCW8ajcb/DU8nxU0ZoJMaPK8aZHAnywCe+8II+EBEQgZZFCUpFWRQssJg4BJk3DDUb4BE2uUTTq6g8HJMB4BCiAwwKqAMskAJsE5Mo4IM9EIQ06AL4AQw62QGD2JyeqoAs+JMnYB1gI4CEtBYpoIIHoLPkuEvAWAMsSAm8aKyBJBlBOBE7GCEtKEo7KMqVORyUGUn+xswZILOP7Uq/Z7Qrw6O1mLRMi1Ojm9SeLYzJ+IPGvWIhB3JKfcu//4ucleq/s/C/yBGCy8m06HBKm7MWMckCZxucGbtDBiIJ1fM6muKCC2iDVswCDcqCOuiDNejHHwECKdgBNbSt3UOc3kOCBnjLczmJ0Js3k6OOBQCCUsSgiiS3kRGD/wsCNoic/osD1HQcIWgDQGhM+NwUPmivdLK4zuTMK7TMiXsnVnHGz5y4loynjSsvySQOPXAA0mQI6XsAfDmtCSgDCIDQMnhQBo0AHchOpttJTYQRHqEDBziAgawRqHQOHjmBqYuYwjEAM2AD3qGDNugDNpiAfgKsosL+ArOMM9JEGMSRCdhCRzCoqGoxrioQAB/JqP4qquYojGzxuhSS0DJ4gAlo0AZd0AmIAx6LTyxdD4XzO8OLv/6czCvEzyxMxnKKOMU7kJWEP4gbCkN6Ajsog08Uti1YAH7yJX6CpjldgIAKKARgACEIPSEgTS/QxMSpQTYwABCdMQIIkicwiSjoxN2CE4gZmQWIviF60PJIUEwEAtiBEujkiwmAug+kTsSCEyC9CVvUnOpUjEkVID6RDxZKqu18Jj3Cr1rlp2fiJzNYniztVfXAO1VrP8R7FakgVooTCgHZq53gu/JhGlqbnjJSH15jo6MAkFmJmb5CpjRzSE2tKiP+yE5fYjGxEIMNHcQoqAKdA7jhsiyf+IEskCiGiiV/8oIu4AISnNH0UoA1sBNAiUROUsvWwIEogANFyigwIAA6YA2+1AIKQADWGzAD4BidEBM22LTt5JB/Kpyw4ILo8lWP5Yj5tFYzkpr9hLWqEUY5WhoFGR9kZYmpIdkpMx/xK9ZUqQ+v+aVkUlfAslciWBFtgRMkcb3iCRMZ8YJEpVGLKqGlfFQqqb362rLSiNMfGaYdeSW6IbqFCNWAfaUGaDQwGIDH0DO7IBJPbLptaUQtCJMsiA5x7TSw6YMr/Vi5xQhwbNmoUFkmu1tf0RozwjjN9B7x8Z7uAZaoSFZ3fQD+i0VRneUNezWCRTmCqwVaMPi8KNAqmSilC/jCGkHYjskPdz0zLqi9h3QTwNoCF3ONMTEAoOULgOXRgxQLsCWss4oCK0ABA6C3hzyNBDhd1GUDAAi26TATMiCEuJ1b452Ix9zb8gtcvu3b9QMWARFGaUUf6n0jWpneWgE5HrnAOjRB4N1YBCACMmSDAZDc0+iCAmBApdgqSKxO34AfAiACfjNXGXkAhzU+nU27bTuACWoNSDQAyyAUQGOvmMC6zBKLAkhYHzirHXiNKbBfO9yTYWoNMQmCDO0vThsLmzleDr4IkNga8ALhwLXPKGPZmYVexIsjwH2rXjvZ8YEJ18j+Agj43e8t3RsZAhDx3UqSqvSVAppIGgSrg4YsvsAKAPmNG/rNOS+okmDLqAPwggpIg9vdJ0ITkyIh4t8g4Bww4E+sEgIYgnYciRq4AR0rAgKQ2sJBgKezlh5IsADA1xo+DzUo3g6uY4VrVlxBIyjjHr11Gj5uYcDdNY3DNWqVlUGOGpn4gSuIgADQU7B4sDlFOYBKu6jaU4d1WGdCAEhalCAYAGfK0y2QJgZwAoPCEIyB02dSAD3tpzklgAIQAmzzmPyIAoyxgDJY4gVIu4M5uVBugAt4NAagU0ECgiANFEt0ZH9SMwpjDeORAiNgAFzFLzXr0yHAKofzGNpt2Gf+QjloWqYu0OQisKlrCZQA8KVMxq9I9qeUS2Y91dM06Ng6jueHiI/uoacyulY3KiPxixo40kw3ClzrnR7spacUJpUf6IETEIDpW2gGjb4F3ReIflKJrtAy+IBv1QIiUOjoY9AGlQBSXomzoiU7WAOOnmjqWy0iUCuf+MBSGgIUoIB8MQAEmCq14xI/GgB/QQE2oIM9qAIJiACBYK0dATAiAOoFfdKgPgFbNJ4nEC0BiOgnFQABqGa4kgIsGIIIYACObugGZa1iMwghEIAIUGgpxReAidCNRuoyuAB4lmd55oOWJWRhjOvnlVmriNanyVvnvWc+/jheid5rbTIPGwL+IRgCuJgL7DhsxV5stBCCIxCCwfABHRgCyoYL7CACIYjDa76JyDhXww6CxHactSDsHojls6KPsbWCKTDsIkABC5iAf4HQB4CA+dFpIqCCK3ACq54C1xyCINCB9nqCyaZs7GgLyBkCHeChlYCCISACuDBsyh4C54Q9o/GBiyGCIGgLxW4Dyk5unVhKHRACOTgCw2bs7yBv6D6CQcBFt27vQsCiv4tCz6y1+FZTefLPl3RZmRGOFrECWoSCiyklWKxBAidDLGCRMmwRUAEtWoTFLLiYWSQMkAbplhCTHoDFUroY/p7FyjWeVhkVFnoCKSDDK2CC3UGL1EQC4GkCJ4D+OmvxgdKG8I/qDzX87wxPQysgJZyQlx1ZEXd98FYstjFmNeuGgsLMcFicRf8OaZmQmR6gRTKUFAA3Qw0/CCi4A/Z2b7dmQq6xXqIZkGTMHkFWMjEqaL1Sv11B8/erXgApL6PZ4q0sCWyDEiyqc3qhTWuhFtrEtlHRiUbdSm/EIuc4q0a9IOzTyjoXcWzbyj4XGg+Xl62klqBcFKsuDkTfqgsyri0WipD+8zvXPHqJDKTZKtpE3WopiWCliR28cztf9EIf9SERcT3HczyXjyfJPi3PdXCcb3lKP5EdrwKt77yKJyu7gRpgIeNBCQwSW3lZdhjhbAyKQx8Ik636xWT+N8smuua7HpWdyHaUaCI2VGmTdA0KFhPX+kgogZItBrdR9/MhH/KVeHZvf/SXqIH8CBMMIgwncgmeIAxwX2AeVwk9O6tkxyoYj0Ps+vbCuAmQJuNcf/gPJqMsWtkCqcJRoXityYlQGQqNv5WNv3h+vts+7/j1xfhq/XhAtgl7h1b8LlmP6SJx5/aiCemt+vBMh6eLL7LrMh7XiAyQglZr7o8x3vEr03mkOYm7FhVQQfWyarg/YZXPwiYPv4+xihpzkoIsf/gt78W/a3lh93phD3skS5o/EbIvyits+p+kebhGJ5WsuqB1anOXQKu4gTlZbq+4YWBjb/fraforu6D+iQ+VmlcQZUcnAGWJfYdM4sBJqx8nDdL6h4drsZ98yq9879oiUmE462m1ze/8rCJ4oi+aZ4dhuSeVN6/7Zx99lS78po+1tTd6URLjwr+QHRh6UYqb0Vd2GFl7JreK1Ff28Qn3oul74i8MJIR8Ld9SIysnYKwnYHz+9Gv+m4AKo5/+ojGkh7v+5d/+6xI8UzEeD6d+Xmc1jmf3o98KGxhjs2enL51+xQc8JBYVcQdNEMd7GM5+bm/0MJJ5h3vz7Rp5gLiRA8eNGz5yCMxhoyDDhgIJEpTCpxDFihYvYsyocSPHjh4/ggwpciRJjoFyDLwBEaFKlSwhtoQp82XBlAL+Y8akiYNmSpkuC+5kiZJgz584dwLNmTTo0qUonyZk+hSlQ6IOE6JcSFXhVIIMB7JMKBbrVIQ7rRI1W/Mm2Kljq7osK9fhU6ZihZa9saPgDoRh/QJu69Ut1KtkA5VMrHgx48aOH1fkIwUr5a1QL7O9S3gzYLKVL1u++znw6NKYA5Me+vQg286u3351nZpqbNqy6c6uK7Rm3q83r6aUKxx3b81zKTf8K3y4YbJ8EEOOLn069eoYpczNDnr5VtGct+dGPdwyedPlx3OXGzT96dZSyXbn3T5+Xu7wf++u7Vd/+LCtwfNH21h/eZbeWpwJJAV01jHYoIMPahQIdqj999/+fhfCR1hlG4JWIYbieXieiN2dJp522R2IH3j15bfcgfS1hl9mMYZmX3KZKQciiWtlqF2B9+GVols1TQShkUciGZ1kK2bYY304fteki+xZmJt5Oj6JInvoTckikF1O2aOTW5LJ4odlomkml8vhkaSbb8IZEh4azvchlOOZ5qGFOFYZopUdprZniRfWmWaVhKp5Zp6DOnnoeWPuuBmkW4p2J3sKxpmpppoGMmeihp4J6JokGojln+R9l2WBVOb3Ip50liplfHxaaimrYQ75Wq6TtucbofKphpJEmxJbLJInEehfc4bZmexvdD1LK7Mz8tkstSn6iuiMuzkb6H40Aov+qoC/zuYqjOJGKyhpaWmrI7iIRhqjfrwWaay991bHR5r78tuvv/+e+C+vKwIMar8DE2zZegUznAMeC+IbscSMTQhvmdW+K2XGJjZrrcd1IvwjmX6aaGukXY7pKKlecmzcysyZK6TKn5YF8cQ34wyShBguO63H0spsLbQ/E/3sxzmuvC3PPMoYtG8YbxttqMrKyG26BMpMXLbx4vWt0+Vi7Z/DOZNddkdLzvwqxlMXXXLba+spNNe+wv2orlB69267tGqpN500Khrk3R2Ti7fVheYghdmLM15Rp1T3HLnkk1NeueWRQ37j5ZtzbnnmnU8uNujQSv65YZg2nnrZO1/+u+zbS79+Y+w/1003z7PXjrvcQMte+9fSeq0707TzvW29qiN/M7Jpz9327M3nHv3z0lMvfODV/k3069dPb/2ZDycf/s1zjl6++eejn77667Pfvvqoix8/vti5X7/99+Ofv/77M2uz/P9vSkL8GyABC2jAA95vbABcYLHQ5rXeWa96EowgBSdowQpi8IIapCD8GOhBOD0OgSIcIQlLKMIOfjCFSRKgCVvowhfCsHM5OJ4Ka4gk08Uwhzrc4QGfY8MfIokPT8AhD4toxCOeD4VAXCKD6IfEJ0IxipvLgf+YaMXpsE6KWtwiFxV4xS/mazJcHCMZjag4MKKROnwoIxv+2+hCJaYxjosJxBrdaMc7DnBYctyjY1iIxz8Ccn0OqyIfCykSfRExkIpcZHPgaMhHggQPjJwkJTEHyUsmhnzEqyQn2ThDTIJSJFl03QZLmcFTmjKVqFylKqvVplDC8iM7sw8ra9lKW+Lylrpc5SBj6UuT6Ks5uRzmLotJzGMas1p6/CUzM0K/pXUyml2kYTOrSREn2i6ZyNymNrvJTd1R05rVlIw0y0nGxIkznRbBgxjN6U4oLlOd4gzhO+tZxE/KU55+tCc/YQi+fOZTQP0c6Aj/CVB5CjGRBF2o+xx50GpKoZ0MnWj+qEjIhzZzlBTdaPvQidGD7pOjIkXfGT/+ClKFjjSlPXOoSa0ZCJXClHPxbClAsRnTm7ounDRVp0Zx6lOGGHSnByXnT4sqEKG2lKhGvSlLkZrOYC4VpjN1KkglGdWU9pKqJmUdNK9qz6xq1aTkZFvDymrWs6I1rWpl2A2aGlZ1OrB1XpUmSi761nw+jqxr3Stf++rXv9JSp3etKkrnykgvDpamITVsORNn18QC9CSMfadbIYvXwk7WjpW1bD7ZmdlO4pOzSKXnZw/7StE6dbGlxaNjUavVQAxxtYHcrGsji1nZIpG2tQUoVHHbxqnuVqik9e0YZ/jY4H60U8Q9Z0mRG1alLleKunUuSCUa3dwel7pJve11Tyj+WO0ilXzdved3wStc8Y5Xhz40b2K5yrv0FtCj7IWscgkH2PviN79one58PxrXrsJ3f/ztr3/ngzD9IjjBCJbCaQlsWfQG+IBgdbBlbRphAgaVwg++cHybq2HO9pTD9xvwh1uqWhG3j8El3i0iUWy/0K7YtRB28foyHGPR4iG2NFZfg2/s2uHueHTy9fFuQxzky7WWyMg98ZEpp2IlO1eyTZ5ieaFsWdhyd8cWtbJ2PTtlyq2Xy1Ge8ZeB42ExL5nMZa4JidH8WuuuuSDAdTNy4VzmOdM5uO61k4upmOf+svNz3/QmoXkZ5j+bN9BqGzSjC129MyNau3SkWqMr7ej+7UE60uAN5gMvPGFNzxe9lh71peHW1uyCusgWvnCbU03fVcPXz67WMJOvi9hZO7jWxL01rnOdZa/yutcOzvGvjfppYVM4ouNtNbJRC+vV5qDZRK4jcZktbdQq17d4vnaunz3XbXO728UWqXHDrWToMrbK5u72ZIO97hjr+qbHfje8WxzVedP7xsReapLzzeUJlZrUGbS2v6nbW3lHu+BunrTAA65BgiucutmO6ZMjvnBvM7TcFqdzvAeq7o3fuOP2/DjIQ27ngbq75GJGN8ohrnL2Hryf/X45otVMWVTT/NwnL6fLcz7fTu28kz33+c9tXsnEkZzoUAay0HusdFD+B32RMH66q60KWpxTXcxMV+SWs97riZvW68028h3xLXZQC7DhtbTx2WdN9jJqvO1jr5iC93oDtssd12hz45DzLm2RH3Hmfv+7w1k59MH7mOXSxTriNe3lLR6+8UR+fBQjL3kfT1q6Tr98uKmd281zvvPjzmPSQ+92xcMQ3Kb/u9FNKOvVFzzzOaw47GNv9RemvPbvbr0BVa/7cG/9gL7/PfD3PcKpEz/iwedf7pOfb7DHF/TOjzjG7feE0k+/+KOncvZ9vvyOYr/75oZ+/VAiffFvfM+6FMj50Q9y3gsZ+e6neV53eej5ex/+3Md/1slfvr7zn9L5H+hkWgASXfVxhU74GWDE6V9OMd4CWtz3RQ7eQaAA3l7lAGAFet0ArpQGIl4DNp8HPl2n6JgDiiDifZ/ZneAGxtxXtN8Kip3nfUUBwqDcHZz81eDgERUO5qDf0RF2KGAPEh0dvaAQGuERImESKuESMmETOuETQqFFBAQAOw==</t>
  </si>
  <si>
    <t>R0lGODlh9AH0AfcAAAskPxkjNlZYKRo3SRgtXSk8Ric8XAkgahYhaRI3bQssdBYtdT1LRCpIZj1MY0hWTEphTlxmR2l0QFtoYm1taGN1anF7Y3F7e6QrBLcsBKA3BLY3BMosCKBCBLZCBKJUBLdeBMlDCNFuDeh7H+ZwIfhgOPh5OXeBRHWEa7uABMmUBteFEumGH+mUGeqkGOmyG/aWLPeFPfilLvezIvu0NenREOvbE/zeFezkEfviFdfEPfvPLvzDNeTQMOrcMOvkMo+TTqKkQ6+nRryqXLKzVYKQar24bKOweLG1evylS+SiXPu0U7TCVMbCQNHNQ/bcTujcUOrlUfnnV8LCc8LMcs/Pct7QdNPYceLbb9Pgbublbw0tkB0vkA83lS4+iQovrAs3riJHmzBJkCxCsDBMu0ZMhG52kRJEwh9HxkZq1mSK3IKTgpGigryyhJGloJayrpy9v6CooNSihOSrj7vLi8vOjNLajPrglPzvkOrDrvfRrNT2tPzyqLG63IGX5ICn6PXd0/z40cjP5tDa5efs8vz+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H5BAQKAAAALAAAAAD0AfQBAAj+AAsJHEiwoMGDCBMqXMiwocOHECNKnEixosWLGDNq3Mixo8ePIEOKHEmypMmTKFOqXMmypcuXMGPKnEmzps2bOHPq3Mmzp8+fQIMKHUq0qNGjSJMqXcq0qdOnUKNKnUq1qtWrWLNq3cq1q9evYMOKHUu2rNmzaNOqXcu2rdu3cOPKlRqoUKC7ePPq3Vu371yZfQPzHYzX7t/DLO/ywYNHimPHT6TcmEx5cg7Hlx03xsPnLmKVihdLaSwlc44clSlfjpyZMZ/OdT/LzniXcenUN1Cjtoy7N+/dlS+7nk1b9G3fyHHvBp46R2TOnolLLxjoNenSzJNr364695PW0Kf+L7T++HR27uiVm/+uObz4v9UXNzafvn594JlHQ48tXfH14/YFmBx+4MH23lp42XaegAzalxls/MFX3Xy5Ldjghci1ZuCBZFXnGIYghjgaH/CRFuKJDApHIoddTagbijBiOFqEaHloYYw4cjcji1Z5iN0TOQYZ4Gk7luXjd0Imid5pz63IY1MTYqbklPY1SeNWtVF4I5VcmqdfdE8aVRt9XJa5nW6RdcZVbQCa6eaAUmwYZlAevmknd17iceVUgeCx5Z2A5qbnnD7VGeihZ8ZZlZ+INpqhFHsSGpNofzp6qHNxRnrUYqdZ6mlzmmkqKUpRfmpqcw+KGhSlp7Y6Waj+oybWp2Su1moZpKryZKOttV6mZqwnBfIhr7yeNihRfNBKrK2+5grsRckuK+2tTvrE6LTL5nDssxvN2im20jrm7Eu7ghuuotxe5OOJL7ab27vuxvuukvLKe6Jjv97EKrzzLslvvf12B/DAMBLsrn2wpjvRvgb/yy+ODUfscHoSA2yZtuOSmuxyyjls730PX1ixxwH7KzFlmSr8kLe8YTgywVOeDGJ2OVQLU58v/laydiM3R3LDKPYsoG6QqrwQzhzrLHTBPzcNNMVORz3xaDdf27LPT0Ods8hRZ21y1/3q5qvRBrFs7tnaidsShWi33Ru+ZAtkott0K8cZaI3Vrbf+akWmi/TegL+aL0mcBg54s9xGa7jhT2wrkuKLH+74nMJWGjm4ROIhkrCXR954xp9B3rnhGH8k+uh7E2nze7Oifrm2q1vUuuuR9y3exrR3ji5GOOf+etHiWe2757FL1ObwgTtX/FynI0/6DZNDFIjlzqONGvCH/V1955eBPlDe23O/u1zJIhl+55GBPvv5v0fPVuXUs3+26g/hYb78r7ufVvP4L35artXZWf8Mpz8jCW+A3FueXY6HwNopMCyVayDtbDeQCEoQdRQciwUd9TKwwWxoHgSbmahGHSncz0Eh7KAKUyi1AbHQa1qbWHA0Z5YNYu2FOAxUB4O0QqHVjCD+8Nvh8D6YIyH2Jl418x6fbmOeJuKwh02MohSnSMUqTvGFVsxiFp+YwijGBmkq1KIYx0jGMpqxUwY7oxifeMV6PRArWupYD3NopxVCjIs+zI115ug7mQWNizdEYgGvAj6l6RCPLOTaHLdmpuxgx2WIXGQkmwYyScYvQyGDkxKZEi1GGtKSLXSTHWMEyqeVcogiJCUgg9M1KXSFfxeMpSxHN7geMXCWuMwl4N7YFFjq8pfANFfpqmLDYBrzmNIaJl1uicxmOvNTjeMTH55JzWp+6n9S4cMlrcnNbuIIe73cpjfHSc4LgVMpviynOtcpskEKpZjsjKc8A0RCpRxwnvj+zCfPeNmTQOjznwBNjiuRMr2AGvSgk3HnTvqE0IYCNAebnIn9xOnQijbznD/BnUU3Gk+F3uSeHA1pN8dnLXGO8o+nBGUgJ+nHa7L0pSmFqUwXdFKBRrQlasSjGqk4U5jSJ6YV26lQ1wjUnhb1qF38KRutKCigaBOFfJyZUV861aU1CqlYrapWLTbJDJnnpikJ4hhZOtSsmnWr8CqrWp141raiFauW5KnYaokTPIj0rvKEKE/Side+UtOjLWGoXwc7zh/mhK+ETWwwAbsSZir2scCsZ004B9nKXhQnjrWsZmNp2Jps9rPAvIxNpgna0uIyB5PNrGlXez5+mqSgrI3+LQIxmhi7yva2/QMrRxCL296ijrEiAalvh+s6kq5EsMRNbu60dTNlKfe5oxuoS1QL3eq6zbgpoS7P3prJT3LXreAVIEq/S97wmhemNEzMt4xYx+6ys6jWTdENpLuSvKExqWs9o8fyy9/++resVf2vgAdM4AIbWK7YZMkja1omrqozq/GNYWdVct8wHjiKTruwhjdMxrdy+MMgDjGB0yra41aYjl0KZTfdGmEXtgu1KyFti2cMuOPalsY4pptru+XcHPsYXMClDUV/TORD0fZxRU5yMnUrkRsr+cmuYrL0nAzlKntqx7zrsZW3fKggW4S3XA6zko5suiGL+cwgwi7+SKiM5jbHTMoOYbOb51xELFcEuXTOc47SOxLK6vnPMOLz5rQM6EIziL6PI7ShF70kMu+WiSE6r6TLS+mWNmjSmK60pmXm6I0UMqpFlmSYiWbnifjpxC8TsapXzeoykrXVsI61rNmaG8mG5NSITPIpq/ziUjfZzKzMtLA3rWlVDvvYxD5vcGwNEhOiOoS6piqUt8ZckjyS0di+j6CbDexs/7naI9Gut70NbpGIe9zZRnSz0c3uDG37I+dut6HVDW9525tvJVH0vbNd4nDv2979Nne3/83lgIdE3wQ3dLkPPvCEW5neHnG2w8n9bo8Id+LfrnhH4o1xMS98zSfsOKD+o0mSi4vczcYqSSFPDmhmmw7hX0O2zJNN80rN/OY1J6+aO9JJFLOWep7MmeXE9jEXi/ePZzq6J7m2XagZXb4mPeK8dv5oM+P86iRuY9aJ2jUpbr2NFQY7hg/2MLFVSOtEH/DZmbpFoq/9xUQde9l/xlZaIzGncI/72JtIdR4z+JgWsvql3Rvs+/6G7FdL69y3lPaG+6boAlu622nW9MgLLNhhSzyZdrZ0k3X+8d+y/PXgfDSOF/bo3kV8DB9P+PM4vmNJkvxKP+8vOdbeZ7BXjeHxw/l5vRj1l6fpDTXfaU8flDndpr0Lk375Bkv99a5vGdmVT3hMAh+TjMx+d1j+WTLKY//6OuP+wyBe7xnbXOniZz34q8/BU3Xe+4PnPZVopnGL4zh+8E//8qU+fEtx7PXGlnmX9CcAuH+4UX88V4Dmd3vMt33zJ0NQ5XRCkny+13sRSH12cxJ8EHIAt39OZIGAQlHvB0IKqH8myHoUiCq+tjAw11AleEQfGIFSFRzrlUk082wf42AUY3eZt33bhIHxx34xV4FAWBl9xxHwxFEvaH1LgnxCJ16MR2LDB2y8R4UCCIEOiCrdJ4Vnl3vIpx6bd4Lhp3pJl38oQ3oMgWcOhUYYOHBeN3QVEnzUdyNVdIXfl3ddKHdzyIY4GHpYGIfL8Xt4eDGNZ0Y9mHv+YHhFiageRoiGRyNnx/cv54d0TXiFykeAH3gwhocnFSiEzLEDMHhiineDW8iDk/eGejhWE6N9JHN4myh9YRgwO+BlX2ZRFhN9rzgkgLh+2teGPKNU64d50+d7lwSKkdeL2eeHb7eFrrh5dZd3ONBE0ViFnUiG0ieFuNh9zLGCFPFUtihDsheMYnhH1Mh4eth/ZxKDZJiLiSh7lOeHbAiOkhh6pqhFtnd4Nmh7yriL9Bgy3DgRsBWJTGhIg3eNUViQitcbxkhrKcKQy5eMUEiA7eiKvLiPNheLx3gxcQh1ArSJTeSIadiC85SDzwdJO7iPO1gyQKJ+XoWS/CeOi4j+eb9IkeXIIMYYNHwYg9tldi6ZhYQIko+IVzeYNAipeTkwjaiBlMABijc5GTVwA02JHNGYGzYQMkD3djhAiYV3lJMxlXjikl6ZhUzplFDZIMY4lpSBlpShlEdZhLunkS1pHtFYfPaXWEn5hyiCA3rZlRjmG085GVH5eFPZlnsZlriHjzhgA3q5hMExlVmZlTdQlYH5kqmRlVWpkGX5l2WZHJp5k2oZmE3ZlqfxmC7DSFGZlYRpLEA5HoqlG4NJJZB5A0jpG5eZGpqZHI+5G6hJU64nmn44mckBnFJpmJuZHLUJmJNRlTngA5GJG8eJG8K5HWepHaj5LrHJG4spgb7+cZ2o+Y8U4U+KVZ3XiSPKSRnP6Zw9yR2PaZjRB5n/x5XjSZtr2ZwMspfNuQO6eRqSqR03WZXMWZk5YAPHKaDJWaC9QaAGmqDNWZt/aQM5M56iGZvnuR21SZq4sZoMEZ5cGSQWGpnj+ZxVqZhHGY2QiaB4Mo24MZ6oCaH24aCKuZiWmR6gWJXEOZ9eGaKYSZ16aZ+XeZ2X+aORyZwj6pgb2ZXO6ZMLmhs7KpsT2huk6aK64aIJiqELsZJ9dZnfEp8NQqPI0aR3SaJduZhtaaDE2aOpYaaVoZiyiRygOJpgmpr5SSYT6qAHuqG1qZxaOpnGqKU72qe66ac+MKE58AP+L5qaJJqYMJqdNxCowHGe8Gmf9Nml5tmnkYka59kSpvdQa1qdRxogWgqkzwmmRkqfIzqkpUqiu4GjIHoeDvoDonqfALqpsjmmcaiispmbGwqYwBGfitmruvefmtmkazmkYTmNMDqaHiqmicqXhDmrGFmck8GcKymgRymiWtqpSAmZxEl+hMOY1JQdKFqg16qeaVoZtwmgYfmjIYqoRkqpVKmgnZqccjmqULkDoFgDvUqgP2qpkSqg/uqvifmvdGqePhmgxrqg58qXyDmjYeqnakomuammCyqXAYqjyDqrJfqfldGUM+qgYBqi8DmrknqrBbqU0BNYPXanBJugKsv+sivbry/bsjDrsjQ7szYrszgbszpLs8LaHQPrgOMqqdVqnOZ5sVJ6nw/KfwHaeTF6A8FKr1IXn7uJnA1KmOGqGry6G0+5rse6ndWZsA7qm8oIso5ZsaSalivrpZc5mUAamdQqfR3qtGe6Hd5pEelZTj1bGZbJr2tKnwMbtHqrsOZ6dgi6tGSSsINaIezJGxK7nZ3SAzbQn/rZt6TYHUopt1qIiiTas0+ZuGFbqgHasCjan6jqkE5apJKblrshnFvTlGvrAzvgA0AyudrxlAnbG0/5BFTKEJlqTW3rt6n6eB57oCVavJP6LlgqoD/wGI5BqJQauXL7lLGbpAtbrvb+aYwuOo3Ma0KTabC2G6lRiaM3wAP2Gr0be74e6rbQirmR0bynUQMxeKhZubV4uro7ELk1ELBO67pcubblm5b3W5XS67r+GrrIeabL+xjfoZwG3LcMirkQfLvcqnKSEbeXQ5oYLKuAmyQ+Op1Fu53zEpvcyaz6GY1RcMJZkAVQgAUn7KoP3JTfMaioIa3V+7k/W6hRAAUrjAVYAAXORaceexo+sCCgKKTMoZkmW5b8u5cNLLeRscJXcAVRgAeuKqbDigOu+gOuOqioup87kMU/0Ck1gMRgCiRMGazL2cT9eQNbjJoC7JRZGQVPkMNYYAWREcb4h7bAOcGE02MZ/Mf+GhzIgDzIglzIhHzIfZseiLzIgdwxQRuYe5u+IKORlhkFWkAFRxAEbAAEbMAEWqAFUoCg9+u2d9y8Cby8kdG+y9vGBqy8UYAFTHAEnAwESFAFJoSvShqZWhwFUnDCkPEEqmxCvCwFy+sDxsy87QvM5eEYvqzFu3cZUDAFsswGQYAEVAAFUVCxb4rFxNzLy7ujG7oD3XzCvPwDqWHKzbuS91qp3uwYQvqUy9vCxJyYtumgljwFREDNbDAEU9DLQsqZreoYoOzNZ+pypHIcG5w7CV2fiVyZCrkDTxCVBjufo1qdd0nRm2vJTIACEMAADQABE4ACR4AFJqSyPiAFPQD+BVbAw1CgwldQxyxdBXWsw1ocrjbwA1pQBUFgARDgAA7wABMABLYMJNZ60k6gBSkcxS/90iu91FHM0j4QBT/QA1jw0lWw0isNxVVd1VWQBU4QBf9ZscubBUJgARNQBj4NAUVwBFqQzdS6mDp8BSmcwlpcxZQhuz2A1CkMBT1gzvDbA1cABU6Qwj0MBVYamTsABVGs2Cld0z/gA1Ag01LsBI/9sE6bA69MBEXQ02XAAA+AAm3AwkOMkv4p2FVwBVVgB1VQBVAAu7V5hNbmrZ/CyBx6oFAbqS/wAmtcqVez0MoRBVdwBBNgAASQAAmwAAtgAA8QB1YgGdiLxVEgBED+MN1rAARFsAZscN3aXd3YDQRCINVTaQMnPQVFMNwKoABdoAAJ8AAWgARaUMXO8QRNMN3ZvQb2zd1FkN/3fd3T7clEMN1FwAb2Xd9rcN0FXuCbDAStXSH2nAVBMAEOgAALsAXGPQAQEATNfb9t+QNQ8N+czAabHAStPaI38AQ9QN/5DQRBQNk2EN2cbODTLQStnZiD6gQAXt3eLdUcTt04DgQ9EAXwu7lScAUP3gAEgAAIwAVcUAARAASiPZvtGgVOEAQBPuBFMN1QsKfztbsNoU0XzchgbshiHuZr2rgS+6O+/aVjvuYOnZspCpg7kAIpwAPQaquX16F2GqJRkAX+SPAABDDhX9AFW7AFCOAFAjAET/CfO/oDWBABAlAGkA7pPo3WlO4AaO3TJwAFYeygJ20Ha+AFC6AAW/AFpJ7eBUABdiAFe/kDTyAEAsAAPi0Gk27ple7Ttg4BR7AHQMAAENAAti7rlu4Asl7pDCAAOjC7uhwFRwABC4AAo17qxv0AoZ3opCkFux7pDsAAmc6outwEr07rDBABTUDMVSABDBDpkM4AFqDpO+oDVcAA557umf4DUg4BDxDpDyABTQDWJO4DWrDsBiDqpK7kEv4ASJAFYZx5Nx0FRPAAni3pnS0AVrDgR4mAJqFRZ+Pm9Bm3cIgj2mqduzqpWbkDLgD+Ah/gAiB8nXQYMP6pBXRQAUdO6jI/8AhAAXUAJMa65wwQAEiO5FtwAFtw3kIf9EEfAA+ABZte4ljQBmUA9KQOBmBQ6gfQAEXQ1tHow0BQAACQAOc96KL+9V8/6AkAAAPABntwAmR/AIJO4UQ/6F6vAAgAAAHQBt+xo1IwBRNAAIM+82fwBQqwABcwBVowxLnh7yfA8z0PAAKABU9Ap5dhBFr/9wcAAAxABMR8BQIAAAhwAM6O5AJQBVHQqlHABAFw5EgeAAKA8FFABQUQAAvABQhAAAVgBKFMov4+BRQwAM8+836fABBQB/yeqqF70mxQ+kJ/AHA/ALaMn1hct7z+Y1sXvSwirBw+epfWv6YhfyIqj/1xC4rTuAMk4AEf0AKHfdshH5vZXxk/sAdFoPdc8AVRD/UyfwAEUPUxbMJZwAAE8AXvz/syDwYA0eXLQAUQrETJYeOGlDwTEHQBA+bLmYFfJCYYwETLjxw9pLApkKCixZESS2Jks0fCAIESI740OXBLlwUF2ki5kePGDy1FDCwo6RIMFwJr+Pj4ofAHFhQEuFREMAGLjxtVbfxgUmBLxQUMpkT5cYXBAZdfuBwwQCeKDRw2oiAZgMDlgglZfkShUgDoly01kSDMkQOHDzxsACiIWbLLgCIbb9jQKbjqjydrAmwduYWAkSg+Akv+4VNI9GjSpU2fRp2adCA+VV3nvIEDtmydtGPPxl07923dvXn/tm3btc7XrmVX3VH1eHHmy30H3w2deNXpko1XraE8MA8QHjy4eMxc/HLq110rfAyFCoQtTwdGHPmFbhvAOqFkcaAgPsmy781OsOOJ9O6IwwC5LErMJAVQsCupjwYgaT8Jv1gsJQsSwAxBmPbTrA0BY8NrggP8K8miqNRK6gYftEABAfe+iAqLJxTS6QkjtHpviwK+gsKOB4CKaQsDkMjCsx7eGgCzoeqKIgomvMiQCwO+ygmHHKKYQkQE94tIAQaoWCuy2waT4gIEJETgCC12CAyPQFSDM045V7v+DTbx7sQzTz33fI082chT7k7d6iSUT0PLCxRR8SB7QgYQNviAhuQUQs+qMYubbrnldrBhh54MiC+xibZIoDHPbLDhCTscyLCil0iUqYwAUZXCigjOhC/Ugbpw4C+FoGDjwAkjfA+MAdzY44IMTYJJ1A6lQJWnIhZQciSKKjLAVJ1WRGEvmSawgiqroDACwpimxAIKLFgl1iw1qbJBCyQwrGgLJrWgA9SRCJhCQMhWBMKpXEMFowsAtEUPsp2wMOPM/RBgQ4sn2OTjzTkvxng1nMwb9DiPE/24zpBHBrlkkV+b7jzzDE15UJdPhjnkRIcL77XsFNqhhQ08AIGGmvf+TJm86Sj14QoIRgxK1AMgqKKH457QooFWXdUwSHB/ALENB3AVNT4CGksK2BeHjSmiBNwgpIJWX6Jo4IoIuOkxKYx2r+uRlr4Cim1Z9BYMe2VEz4cnkGggvrSeUJdVt7lAQQsfFIqCDgIyk+ouI7ww3ENx1XWoP12/WHoKKRKiDjIctJhg7HqLmGonizOGfc5A8Jj5UNtvB7r2hGvvs7yWcd8T0DwrvYEHETTwQAQe2AxUeDv/RFnRX5HQi2ClDXj3sSfwk/DVVyu6eqcoWnzqWi5lgsAuwddQfdhiuYhjEGUndPttDyGL4gh93Z/ogAbUrEEOuKWf9xxgAncgHhT+kLC/gaQFCj16QLUssgAKOO4GO5DCvPjzBak0aQqgOle/xtWGAjjMbiMxQBCkIC6dQGYpZTDh3VBwBR9g8HWxw6Fq+PC7kInpZT6EzQ9xE0Qiiuk4YuLdeIpDvOdwrE69CcxvgPi74ckGMp2igXc80ILkWIV0lsoUc4gTMsFBwSdrY5bXKmDBVEVtamXboN8gEKCdXOEBwhKVqIbUGQI5zH2igh8gzDA1/3huIPySAg6WYib6PcwCWuiBilgkEvjYywozqooPomCE/UkkLVHoEbsSs4X0YW0h82oVuJqUL2LZRArJ4ckJXNQuLoEBAReAZBRlg5QqFKB8xNpCBYr+dAM35dCYqQkEcVIGPGbeznls8SI073TEJIrRd9ecZu+Ygx7o6WQHMNAiDXiQkMA4z3nLJFSqsOAQ/rlqAQ7IwlpuoCoGELJd8PEbuKgiLwOQBVYRiskBwPaEOPiRbCUhQPwG2U6vtSEpUahCGQ6ABoaCQQEPwEIPdvADKHSLWX97jeCMIBL/NGAKWoDCHepJojPoyA7QwqAGtwQgjk6hcCgUHap8YIcIIK2dQylDuKI4GYg6RUKkzMKMQnNMpppmdJcKTG+6Wc5LQY82VJ2qZKwKVaz6TqvGsc5taIQpO60MUNBBK1RzYp1BYcpKx+HBCDCQPEmhM3qRiSpuhOP+mijUwQvCYmgC/nLBna70pxYhpYxWxAafto1ZnltaFmrFBi6073MVgd8gFvrH+BQACYnUAicrOhAptQEKT8gB3ygXLhVV5S0GSOOUHriqrYiqAEbYWAYpCb50YQlzI9kRFFSEFwO86IQj4cIQnmopchWXajJhwBWw1lTqkgYPynweopB4zSnetaxFBC/NjFicP4W1SoEa4xBX1hzvdrc62T0OqgSDA9nsYAYh2MAGWJCcvCqsd221zXYziYUjGJWhFknAGrKgIqixq6L5DJAPsFCBBcCxLIZsAB2kgIWAXbZE7zGAGwZhAXtSLY0D4AzADFqirnGBDSvklrf4IpX+D6kogzfFFh1Oq4eVuo0AKpyRFNpAUolsoQxa8CADv2AA3O6TDQZu5EgQUAQ8ZMc1dznCiuvVgLw9obpf5sNT8crd3Li3zES8KnjHG0UgrtU49H1MC6uky+xSR3jxVSabyQxFvX43NvStrww8EAIPSEpA5qQZEYuYMihowQJahlVZWgoBx6nTwRW1Vx18sNMIPjZBokKAG7SABTaA8MLnQxABkDW/5xZSKF8YwF92SgF/EuxaieECBfDwA02igICIlUpIoTAFkmJrCjKygijjs4AivHKeSNhLkZmEJSXz6wmbZhGkP1wRA1ohRZmMwpOHVQAqQAEPX/4yTpAYYCn+7sY33aUmvNXsbpHNl73YxW70yLtWfKN3iOnF5nAAnYMd7IAF+QXB8uysxDFLJzZDi0IWemo+zg6kAZcUnB16TMvPGeQJUmDlQCi+bZkwKNwQ4s/3XAWTBLBhxMsamFBexS+UrgoxKY90Zh5gB7BkAQWt+hu8qtJcw9EBcXpQ9kgWsEZOCZnIM7bDXabw24rc9tpPWOevVf7PgXhBdNhRURamRfJYa2Gp6G7q6N6t6PGGt4n9djh42a1e7RBnUqZzc8PdrDJF/yZ6zlk0zPpkpRvQAAQh4MAKeCCgvDaPZoDP92vcUgccRXk/C2gy1hWXRvfZK0BaYEMCWkI2XAP+CPQEkMituyZpVe+hAsWu38olQgA6oJSESjIk1x1QBbCwyKf5nApxNDlSw/WLnhKUCUYn9pbJRaiD1PZavwR3hcpzvFgobMPjurgiCpMce3e4IdqNiYflAjHubdezndbO9jWXBzp6FYw3+auwJrpf8j97ouPzjGbtbnPgO5CBECA0GeCvhxMeJNKztuMN5qubA5OPOJiYWhGl44qPOZICLViDm+MfznMAKsiC0EuQDdoSiziDs3E9gVi58zEJuMkCKCiQLXCJkWu1gRCsnvs5ypGR1yAXHGsgHXsCpCux3YvAIfMPI0MyKKADqmugm9gBLKGXEdSV1JsgNvgQNvn+gSzovglpuXMTv6YKBLXbDfZjO3cTorgDPOHoLjuzuy7KO+0SMEShlPAajvZrMz8rnQsCpw0IAYULD7tKs7ejDuELt+aLPZ+KDy4AgqlQFWWLvfjwPCywgkFqxIqgCIoTAzrIAjdYABmcRDAwwQpAQa6TELjBAgyUsXu6PpNAgCDYCC24gL4Juky6gdcqCdnqEQawrC8wqSc4Eg3KlbqQumJroK+QMDZAua0zMVfhgmaroZzwgSxgj3+SCAWIg/Drwhy6LjGMvOtos7ZCP/ULoilKwzmEK/tinscrK9rAMzxBQ3+zv7YqlMewkh0wnvwiAR6YJ24CuH3DJgGTsBb+abUD8AIv4AJ74gILsIJ5WpfaosCKUIAIsAMsqIMJjA9DFBUCQII9CJaGDJUQGwQUEEYK9JsBqD0WyUXQQbUFeKQVYTWJ4AJwqTEfIDpXcaBFzMUEOII7iKkBKIu/8SAl/AJ+WQssKAL9wKe7qSX5uIBwmZQfsAMImMFpfANrvMbYCbNDcZ71skOyaqY6K7gZSIEXEI+hAitL4RNNCbhsWiLJoAH82qLk6CLoOY/lQI+gsROFsQEJm4AKa5eoWAMzAErSgskdWMg0MomtMMQtAAAIKMU66KS74QIEiCHzwUk7cAMDG5ujzAwDSIkLCMW7OQDJ5Ist2AIFQIAAMAL+LbCD1JkQF8EVE9uCCBg1V4y2GbOCHMAa2dgk2FsyH+SxmyyCO+iBwXm6L5gjjgq5ivACzcECCjBKz2kP44KJv5mYx/gBOlAcjuuCPqhKL3yqO6sm3QCUMDK/6/iYrVLLSqHHFQABFeCU//ovurygmTkistyuNGsOOAMrACQ0ECBAMGKZbgJH7cGCCErBBSiDNxAEODCDUzSLMlAs2iKWLlmABOCCBUCAvsAICXACeTGow+QCMzCDMrCsBVgDQGCDAJBMyfw989kCyXzRAOjMX6uILqisyIxMAyAAAzCA28ICOyBRZ3nJEeWCENwCjMKCLLgA49oCCrik1roBKGD+Ah4EAwdKHAeViC5AgTt4AuIcGACRgmEDyiFZIR+BwcubADUgUdnzm6DiNdeig5uKPTIQhO5kKtZ4PAFtN0HRpq50PLm8vx1wARD4gBRgwz5dOOKIQ0MBTzxZJsjYAbkKARHoouwwL/zLk/dKiCdItjN9FQNYAzvAAy2IAyi5vi1wgDroUiCMDzGogAqYAFidgFmd1QgAgkYrqBQ0CzNoA0FYA1MdGATYUjYQAAMoAwMYSK4bSANwgAIQADbQgxv0jzFIgwqQAArAVgqgVQqQAB3AAixogCKNDwQogz4QBDaAEjj6ggKwAytQLZKwJAHKJHLhzcMJJULKUgqQEST+RL2YYExQ+qDiiwJVMQDESCMjYwM6iIMywIxb44JUHVjtsSlR/AIzGAQ7vdN8s8uuoib4+ruYsT+uvJOxuiCD64AOoNQaUxTfIbz+G9masY667Jg8oUcRyIAQWIFDtSIlyj92HDqb8lSZcICSVE3WbKU6GE7aiokuUAM4oIOnnYI2oIMpmNomaIJvBYIFQEH4OIAyoIM9wAM7MAMCsho7mAIgOAEUsAAUGNH9EAMzQIG4RQEgkAM7eEUSSQOnZYIpMAIjmIK/HYIpGAKosYN0NZw4wII7sIM1MMSqa4NRe8WeBBd5/dlOqtIpOC2VwlfbRJx56Q+a8i3D+QsocEz+GDSfA3AxO+CDxX1NFKqDjbkS/eG8kegDQsDYY/pCbvwZqeLHscQdeHzH8qCRHTA8D/gAxVPZamrZrcxKPrUr12ATnMkiDggBGeATkvVZs4zSNjC1epkjXiQMFDCuYTwtCa2IBIgDO7CDUdswLUApLZCCKNgwgNygLVgDLbgCJ8CDI5CaUSoDPdACJ6gCKLACPdCsULFYK7ACSFTgO5BWiTiAClhf+X2CO0gpdZGCLoWCNjCXu6EAQNCCLNCC0t2PAGiDUlzSIqQx5IhS0fIPe10VB62IVN2weRm9LziymhpTHdvg7o0VURVhOhCDLaC4KpU13Ay3BFDXgUCDOr3+3WNqDT2JjDTzE30jFHnzs5kdorEi3kf5jh3wlz7k2Zqhx0PVyq0UvLH8pkELgeSgr0VVyzE2DhvYYCAJkjXAgx5AFS1oA6ozCQMwrUVsFQSIAzyQX474uByQgh+QAinoAS2ggBi6CCTQArbIgiwQEf+tg42Q3yjQgmSZGjO4A/ht5C61grsliQMwg/X9AUbOgSdg5EUWIC0osHZZgIjhNRE2UK+JA3WxAH2RNiz4Ik1igpBEF07dZV0Z2jD1xW/BglVSMgciVQKACBky5CvkgwkgJIxcIZ0gNdSDwoFIg4t94mNKJz713doBvODpv34zS53gARjALxBYguTNk03+uQEXaIEaKDir0M9C2dn1ulQv2oEVwIAQIAFOsQ42ZCKa2R3zWA5SAxLkwi0XkoI6WFMUOoKMcwCviZjHCSL6iqIeWE2+3BKIvYof2IMiqDVsqQOwUCSOcsUzlQlc6gzB4VQr6JYtUWW7EOmdeIzA+YjGXbK/cJpHRmUpQ1y7negZwwJTci3CqUWjU5VO00JK5lcSyWExjY9YAyVxSwwveJceIIw1cFAuUBMriZciaMD4qN1yPiasUdSVRcd0TLR9Q0/gjTcFvIEAmhgRyC9KnZR9nM+aQY+CE4EPaAGUiT/9JJ57nhm824FHCQEY4BTCY0M/IZ3lzdSFGbv4cID+r1DrUBqbxTgCKHBKB/ieVazkdtyWKHjK8VUAXPIB+uKoOAiAdpEtjggMT1aWIFlJO8E6C5CxW/Jp0lEIOBMgKTgBDayIBog6tjidIzjrNbgDprg5aTsIhdi0/InmfkmcEpMPUZMXYfwbnpi6rqaDbzVrWGHXKLASCVsgKGQ2x1EkR+PL+rFduDYmPuC19wxqRmUvv+MTdHq/oamKJRDADeAidMzKLwLAD/AA9+zruvszrUxuQunYh7sBQdNDAsS7+QyM3ZHLttDe+IKNpdjpzCiDKkikTbUCCVBR0ozRIPg4/ICIFYwDWY7DN34MTluWL1CAZoOMhNjgAtgPQNb+gqFiSefegkcK42vDAuKWMjOQLkpBFZHmbhZx7hm7cvuY74pcA/Y+gEqEuo1ALU+mg1M0gDooX6s+qsbIAmiLEHuRLiSM5r/AArMepQdAqRaCvmVrnKRgZG0WuUMHgzTgb9zFCU45x3MicLrrbJmRmTosjydoAQ+g3hl4Aiszj0pJbtIpuBXwDi4iT6z0LpTJmQ3gAOVx4+eNMzcLINh4bJpZCrWhmvOOKo4CAgEoAwf4dQh4ACFgZCpggO+55V1706hSVB+og2S+iBfjpmFzANVZgMetGZYEuuB2jRiTMmH6gcH4DEWSDE+pABrliwp4avnqKx4cCAQwgyywA1/+k8IDSAMAhl/33YM3GFPjwwIGqOajEiZ8IcQZi6dhUx2ShFzVCaaNoBG8GGJgeiSsWQpDJwk0GIMvQAM/WPRj0skPKSdAzcoD9FhYh3V2a6GE2AHA3gAR8BmdvfCf2RTu8I4ZSD/tTRSccTyutDLuwC/LZp6UN/Eu8q+Ul6beoRFFqgKLxywLQKD424kmEIIgOIIgYIOq1wGk0LjvcTH3HdhGvotFziTsDPIpQS0aIeBkHogFiIPOUI4VITFX2QIUyOCQcrTPVOU9QLJGjt9F5ogd4D50r+8UyQHSfYD96IIKEruCx+E+oIM6gHyqdQPVMXt1AXj3mSMtgAOU+5b+O0/OBqJkLLgAo8QsU7GyFzJdeHX6Tdspht0SNEiDL0gDJ+54HLoDHlge/koImUHUu47HS4lHaoI88eABD2D1EehnszSn6WgUCU+4shyPkefHwyZe/KpeM/6zw3azHoeeWleOH6iCaPQPE3XkyEjpiBNhEYaCKABjO4JBk+CCNRiEK7gCK6gCLLh/J5gYOgZaqoHuKACIGzZu5PBhxcyWL1/AKDzAJsoNgQS1XFDAcOEWC1p8RLyBw0cWFAsUNkxDx44dLFbqYMmSxcmPG0+wQEhI8kuChzEJ+rBT8+aXAxWwYKmQgOFFLxOWMjWTxiZJA3mg9Hyw5SJQhQnoaIH+Q+DmlglYokSZ4gWoAa5YECq8yOUIFh81bvjwoWUCVIUKKNj54QNKHQcJzzAkk2ZMmkKKFzNu7Pgx5MiSJxcCtGSFCxodbeDAEdGzx9ARc3zu6Bl0R4KpU5NGvdo1ahs1nrgIsSEEjB02SKc+bdoj6YE7VnjwsGLHjhq7ed9AHnFg54g7frveLJ0HDA8bSGjekWP67s6knY9vTjAHDvSrcwz8/KOOVaxfFsSR0uPGXB/of0T54T+KFD/s8IQdD2RlxhprsKFgEUCwAYQOfj1BxwBQMeRAX7zlAAUWF4x0kwJFbDSaXR6SBEZGI3ZU4ocklZEgjAsCAYQQPzwxk1X+QA2ARH8y0aUFBXnNR4EWWVyQwEI3cbEkFwZwkQAXQhowBRQzMQCGfEBttQcSX900wRU/YDGFAWghoQUWeGl5poCk2TUBAjeBsYBYUNxQFgFcJPlFGn6M4QdlgQo6qKBziABCCzxM99tqr3XE3KOiRQpppNVJOhpyK9wGAg3TQQpdaed1tAMPHnTggQvOEVTdouo1emmo142wAQcjeErXdJ2Jl5qqq6bn26s4vCeYfAu0AYV33vlgg38/CPsDsz4MeAcDQp5BhgNlOLCtAw8wIMQTPjyBhAFZQqDFEznM9dEdRcTZ1nxF9BjRD3dYcFVbKT6RGkj3AhVGGNqWMfD+tg+c0IO4VVQrXwF09OjdDUC+qxAXdGJxh4lAHbAFx1tsfICcXxjQxo0F4gsviGxo8YaXCoWVBVlmoWzAmWmG7AUdVLVnlxkI6NnWAhRgEa4UbZS5EEN9mjEIoU073XQeI3iAaK+iMtfaq5E62ptolIJG6XmkinCbraNVBzZzO7jggQYg8LBvDnGz+pmrmwE7mnqgzUDCBh7IIBAO7X2ma3NP8DDDDKr+Wjdo7eVQVgMnK0QAlXHbsO8NzQr7EXsyWbEwUFsoMLrHCCwQABBSPBHFEQV0AdQEWuwk0A9SFPEzSQpoxJoW916Eokaz/5gxUl900cUWCCivfAASOLH+4RVXAlUAFf3xxt8JCEC1BQECXHzB61mJn5UBdZQcH8ogosAlkl/GFQUd7Ud15hVlhB9Vzt89BwUKPpPURfeGVrsjEGAwCzFDHwD1tAUyEDKEmEPfRCCDJyyKa2gLjWeY8zXqrEc0luJac2ignRC0YFG7eU11QIMcEWjAOBQcUNZME50YmqY1cbvBDGwTAhqgJz2C01XcSOUCFqxgBjUUD9ieUxbXoaUOUAiOTGrXrCkWZAd2AN349LQkBADhDj5g3QCyNJSYDGQ3WmBDixSyAAtgYXZ2sUAaUyQ8H2ABBbgb3xf0hAABQKFKdogcVrbAgL7YaDRSOMEAlrcABAT+IAI6uANbQoZHpImsDlYgUI6KF7oJDMIrsOvLmM6yJ5qhCQJAAUMD6tCjgWwICAFQngIOcDrvEa0IeWoLGMwgiD40sJe+LEQebLOBRNmNNDfMoDEbhbUOskZUo2lmepYpkCfAwDacguEJufZBUoHgNkkwHA9eoJtHCc4jv0oNqGI1uBvUJgQi4CESWZOeG/CgBSC453Hwg566icZxUphCAfakEAPYQT8D8UHtyCIFLUgBClKQAkQIxAAFTNItCGBDG6VwhKPcpAsoaGN7ZiOFIcivIUTCXEEoYqEUcWRFHfqQJsWHgAi8jwoMEOgWGgAz9qhrQ0EQwAMI5q0TWEH+C5HEY5YuMqUbWcEB98uSQgYJhwEApQxagEJZjqZUOmDBDmUIWQOuUBcNPWEIDHjAtsTgAAYcrC53OEEawaCGQTDtl3Z1GiBisIENiGAJrUrmBjOImmXy5oOqKWzX1Pkc6cwqBG5bTTld0x7k7CA7HABBEniQhBWk4AX4UU3jWjPPRmWwnwIhjaY2MAIexE1u3ynnDmQAAgxkAAMiUNQzYUPOOyGhAPi6SAOs8EQb2EAKTqACcqlQhykslwpOoKAdBDPJmyygi3QkoHy2gAI7CSciGi3pF7ZAJLpE5Am9axHwAsSvOqZxkgioExSoEFCsHABDUehcDXLwgybMaEH+DwLCEKAAyfZmBaoDncL54AUGwgDFAYKAQ0nDMhYo0EGU89NCFb4KFgdcAQqjvQEUdNBfBT0IXD+CI7y6sAZC3LXFTQNECDIAAhlUEFYa0loyc6xj0KrGUTdsz2R3AAIOhMBWmCunYufSHB7wjQMmSIIIDmUcT+XNmHdb7KvK6Bkhs00GiiKPa2qwAxqIYIRTM+IzJcIo0EABCVSVjwPi0hEonCACEmDKUiIQgSCcLyEGFuhFNwKFOBAgu0WgCjrHpVWXRUB2HRETClaqkZZOs0N3nOQWHoCFPtIhoGA5F0Sek4NwWUElKrkDFHoAhd75WaCSPNFAnfiEpv72C2f+QANa6ABhsEygL1Ag08zokIUrOOCOYHhAHX4QnOn8pdRYuIKzwwViO8ApkH0IhIuzLSipeaCENLxhMhOLNbCV9rDgpmFzxqzD3LyqVR9WMw1CwAEOlIAExWFbCljLGcKtU82vgmJHnjCDDxRnCUtIggsSJxHhkKoFHdhABjiwAbdVEMmWioKbJfeFB2QBc38RQAEKwKQlGaAAJ3gCFEyGVCypEQiCPkJ7Q8Rd8xTXCGUKJE2PHDGRnIilz9zBead7kwfYoY91oCqv7SCFbNLliwBS3RMgeoOQWITl4vvzUjFpE4agIQ1aggMcKFo8sUSBwhZWyAC4UgcND72gqKn+QV3IIneI7ktcPsnLAeqq7b1HJg/dPI4JScvjG5cba8Aypte0BuRREec2msHyeii1G2rKm95E3qsHRACe5eDHBt5hT+O2BvkdtKA4JEgClKPsgtOmW20g0M68+WpEJdeYUQLR6FfOMHQVRQELEQjAAg6wvOQhQAJYkEJ0W31KLF1kAWtA16BbphcgQEF4lwP2nrgQOzfWUdKqEw2LkMpr4f7aAHkJix3ghmVli2sHHEFoFFBQ9T9TcmYIfoIeiEUSMqghLwpww65dxBZAgK9hH0mkHYY5QFYQYEt5XkQglH7ph/rZAGCUQV54Ad9lIGTcQQy0Te2hG6yEYAy5hjT+NYrY7NVtAQdk4U1HzMVu7IAIzJsMSlzmlZB3RNMN5VcJItno8cDYbEAMxAAJxJgHlA1piBmTjVAJxNhjVVDtoUbgFM2bkUSmjQhCXUEEJICQfAECmEEWIJ8CrlzzPd8PQAEa4RQQYMEDEsT1iRLLSdh3sMcPaAHP5cuk8UrQjQ/zkQTRcZpvJZ36SUcJEgR/yN+CuVqBzYz5pJz+KQT/3U94qUEAkgTZlYWFMcSOaMHaAUUXEJ0PBM5z6EdrSYSyCQRgHI1CjEEZaCArNoYSdAAI3AoIgmBp1WKw9FgMjVk3dVsFdc4KNoeYnccMDNkMEtkIJMo4BdwLWQ5v8CD+OgnHEuhQDJhAjM0bCBgRb1TWbIVADFRTBqwAD7TgB7oKezwBzOHUA1zVNF0BBFiEJF0AFmhB8qXP+GyByqAcoaFhlYiaTGDfG4pFTLhJ9wHFHYYiHW7hichHr62OAbrMQjIdC26GfoUER1ldIsoJGBTA/enBTd0EGfxBGPScGcDB6wjgBGRBGdIBKg6UsEVXVjyAFZBRagSkmv2YFMTPTYwBL7UiT+qBCHyALMLKlWXNBh2W7WmNdZRRc8jAbezQDeJiaQgOeahNCFTlvIVACcCAl/UKqcwADeDWcjgjOn2WZslbCFBjxF2lwi3Z2IQACcDAHNgGC3zeqMQQe0j+ARIgCX3FDkdQIDtuge4lSWB6YRS4JD2KjwK4HD5+RSABQboQlw/9kxtiBE0tHe0cZM9ZwPeBBh3VodBtnK/VwR9S4QSgmjOJ5URUxO98ZpKUTx9xJFCIARyIAax9ZBdYJNn92tmJzJnUgRhAovYV1C0u3DwVV17eTxoAAk/yJCDIwQeEI6TkjY/5xlDe0FGGiuSxR7KwwKZATKNwnnRIB3LIAN9UnlvCQKeoygvJwAiIQKp8IA1Nll4RWQlwQFoSGQw0x+XYEwaAQAwYXAj4jTkl0aXYgBa0AWNSYTruy+XcnUAxxBZUwBVkgUvS354sgE5EX3axgRVYWUE8gT/+OmQbtRSkoZfPrQhFjISFOmRBld/5LaTcZI2SFcRArihUaSTK0drviIEgPIVH/kFJkgQB8scUtM9FbIUWEFuWTEBMcgYNRVNEQAEBkcSfLCdPBoIcxGJv3BiOpVkH2aI2/RuOwWAGuJMUUJq/uQZlHQ4LiECMWRMLeBnmJKPalJlx4JYvxtButAcPjEAxYiWtcIC30ZOmFOES8AB3ug3oZaNdFteUBlI6LksOSEEWTMBtYuQXmMFYGCb9HanLlWE+YkV1Dc2+TZPMUJKE7YQZ+Ysdjghv2IVnTtcB9NoXkcmLOho/ZdkNrEWrrShaUAn+SVdbhIEgHJWt+YHuYUX+JZ7qha1dlpRBXPDUL4ZH52jBGhSaQqTBTlopK+bBCizB1oTbpMwiugFLbDBHvN0GDMSov2GQePKACxwKkRGZCKAng57HQNCGm86bB3QKG1rHv+WrD8qgO42AXtkGjTVHEoBA2yTKEohAB5DADc4QwAJLcSEoOqZfRERBFahJVqRIYQrrn3mqoLHBzSXJFgBBh67Kh9ocykjYE7THHHpmeu2LCqkUa34BBMTkDwDUJqkjVLrgajzBHfCcr5IPgnFII+bUIKjBxCiEGjzrRmSVmcijA2QXkyqbDwVLeEQEHeoJQ/gBi3ErKwLCHChKcJQbaJSbYpHrdYZGMzbHDHj+QFVO0LtBB6RMR7x6wAyCAAyAJeCokNRUngeIU9s6KRuqh7rNK24cXFWiCnIgagh0wG09wRKAQAfQWA+NFmpGTBsgnYIKZ8JEAEJyAZGErPKd0p4oAEb9RRwYqcscms16xuW47J7AIYqyKkYEz2bAqjsKXVhUQX9QgfmByLnADSg6DnEt3K5ewNPmbCW9JhZ9QRgMwhqALUmkQbJS4lhYYq5hQWBA4hdA63190EBAy86sxVmAARpsK9lqICC8TY8Z1tuqmTMKDnSca+hJRwvcxjuZ03BOlgp0QAekZZHhljkRDul101XyIuttqTI1RwuYZQiA4w5cbt+Iky5Orgv+GA4LwOLb5FdxopsNYJynUSGG7MQPWIHHZheRQIEV5AgintJFbZqULprxFIEa7gqItcH6JonFSNuP0GyKnJZAyt9hZsUBRKoPiGbogJpEWOdHkBEr7YAUXAAXxNSrIS3KYYGwKoQD7MEb4E5hBCYlFiB4jYwmOhWkWgFCiRr+Khv6MssdTMDP+IHevW8GBsIdzG79RhbkfWe79tvgcC4FjU0GlE05pdO/NkcKaIAGEGzCnpaueMYw2ietBCi7QaSTxkZo9GmZyljiWK5teEA48oBeTZyiPOwH5NNy5On99vAJk8Qg2UkO9EAWPMDPWKTpXlXyjexNBNpfYJeSoMD+HfRAcdZOXsLaAVCAFz1K70CiHPELRVDUZ1YhQk1B5IDFggpEJ0egfyBUOPMPAqymy3SMx8DagaGcypFEAwxChW2drYWOVZUdsx6YJpqSQDmAcPHUnmaOhEwRQllBGWQxGgiCHl/pDkRTdDQjFLorwC5W51Ksr6wGDbzeBqQKVJrWaqjAB4BA5d1WjVXyDrAAEe6r34BHC9KNROSKZ/BA5X1jsiRBgF4Tk3GAC43ZB3yABi+WkikZkhFXFBjBLIdXAwjnLWOBLiON1XHBBWiBFjSV6iImALjcqhFzWzj1RozW4yzziRyApgrxG5moZraUZ/iurwqf95TwFFQLUDD+wNDskz7pl9wpVBSMdfpUzAIsQAIsgBdgb1TI2h004hc0AB3swTZPEkBqQUOKTBvcQR3URCDxM0LlV3j4x0MtFFk0i1JjyVwlNE9KgXRemeAwR+eOngyp2eKMigyMUOKc0A9F8BO8QApQozFOR41xRg7MgJtmQL2WQHFMsqWgxubhkFXOmBVT3sQhx8OW6QRdhgZoXuu5gJKZB2nlK1FnRQNQARTsRg/QBNjuYXhpasoZyClxTJToNQEUgMt90RGE0Z6AgTODZxmeIy6BtZx1BGZSIe+GYh1Z82rutc8syQIUgASIcxXMMkMMEoPGzVz0QHJVARVUQRXoAIfAEUP+BCYZmEEFUMAFVMAEOIWtYcXIsDMWoZIdDMJPXOQXwNc982Y+p64DmM9pEZd/OMEUVEGOO5dYcawCnkEfjC1oayAeiOuTDqgnB3KwQNG+xajnjYBtpCDTieXy8oAMxIC8eYBfJeUJVVN/ssAS6FVKAw463Q1neJ4LyGDZNAeU8xWpeGMI8ICVm0oL7AtyqEBntRYPNk5W3dEWpEV365fvhbfVbQE8RjVhfwEZ4NkEgDgFRECN7ADGlQtQEImkPuAZoVdQPDXm0MVA5ssJaAGXVrN8nEGjQ8AElMEDQAAECAAQ9EAZXpGQeAGVlKK6SAERnEARoACvo8CMlJqHaFL+GdBBHdSBctVBG7gBy7EcrfeRUp8MGDjAYWdMkqzmFlgVQ65kYU8BhqkJiTvRsrAhrp/ACVyAuaPACVAfYzcAF6DBkC+nFIQGaoIKdd6imo6lDMUoqZBABqhWOIYlCI3lBVcTB7xTbpejD2pHXz2BCQT3oqhQu4UNd6orbjPZXs0lovYNCRgcxBo8PS0sTzu54F1fGN4EzdxXQViBACDAASxYIMEjGArJSCIBzdP8EBjBEMB6CZMLVjCEWHAE7UYMG0wMQywACjyB8Hy6y6CAoxmkId5EGbzBG9B8G0zBFBgBEzQBTDwBsQkJF3C7q1gxEIRcA3hBAxQAA0gAD3T+SPgkKye5BFlQKByEgUV6AckwooVgiB2sgaanT53ADw6rMbXN+hSc6YpEARAwAAN4AeOvlffcAREYABko0LuzIh50Or4jrm+IViBvU1QGLpQKXJYLdxIBWeeQSgxI3GpFcGwVxwd8JSr3jb9SdKgoZQ74IK1c05INmQfAgOGIQJn+Zwywzd9SVgt8NGtRLCBnThUUG1AQwJksLxYIQABkcf1FKJp4seRwgRvgAcz0EYeUXUyICxI0QFbQVCliurvAGgKswR2sRo26jAXMyzSFhPJtwdLAjP6TBUIJSw84KECA+TKQSxstNm4khKJFQoAFCLYg4BJAgJU7F7gMBAP+ZkuFLFqi/BCphU4CgQO/eKmD5YmdBxk1NqDDJ84ClBpvbpnAEsoULze/GKCDxUqFLUANINHiA+GTGlFOBJDIRSKCiniOcClDqFBXr1/BhhU7lmxZs2fHBpJyA2FCtwlzvMWRcO6NuXXd3n27N6GNHDjq7niyQ0aIDSFo7Ogbty3fvjee0BCxYUOLHYrf+sjBY8QGDyt4DCbhAQQNtn/f+nV8g4aHECFYCM6xY0mIDB5k8Kh9OEkMEBtKX76xREQHETv+4nVs40mVBzgHLoijJaFgIALShPmycWOXClqkuNxy8ssWNnhC/pAiJYf6HDmYTzGA8uSDKlLa1riBxcL+UZwLipACh7Z8wAKF8VDaAoWl4kqowAsUIO+ACuxITwqRMEQICvHI+4KLI7QYELIe7pgAIpSoiuAOLS6wSSOdsggJsB+iYCKBLm4yoI0noLjDAf++OMOBOkiabzugBNqiDCyigIIOI08yYAossDAKugTikMIHB33QogICuIApRT2wEKIMNdBKU8012UQLjydWs4uuOeWMSzm74mqwQbdsqAuH2XbgQVAWOAhBBB528KvPvZRDCKEdaACh0MTec8uHGp6Q4TcPZlCMh99AQBRPvuZa1C0ZXMMNM8JsE4GGTEMoNAbDQIAB0cFQ9aCFJwD7c0+5bPjBignGI2+BNZb+ukGwJtp4Q7vtBPJOCyzs+PEmLtjA4ode23uvvRt6coC+gRiY4oc9d8CCAiAFWoCNJ96rSwsUFKBvCwtC4vOJLA4kr6MKfb3hhy0HHEwLYjtMANkctswBijqIBYoLCrCYFwGUzlAAgiwG7vUHG3FESUooNnwAyC4cqEILQX4kr8MvdnpCC5+gE6piM4AkqAg8fnjUhyyMcnliLO5YY4I+2kxa6aXL4mOt1OSS88458Zorz78a1I8u1WigAYavSciAAxZ4gGuvxvoaMC5WPXAVOdT62gEGz0BQLDLDQKPrTj/hsmEHFjzYwNXqeGBhgwwO5QGGDF4rIXDQ4LyBM9L+krghuUpXK7C/jRI0Awtl/dYiC0Ea0GijLS5gqdpiB0KAjSt6vauGSpmrwwsEOTfAiCjmstu5nL8goA0o/qxu3qNOUlCLnhvsEsKbEKCw4T23tLylCCIUqN0F6/JBijqsvWkBig28+MUJrIicLShsRKoOkrEIf6AhqY34yHF1wgKKKORDyiAsLgC8LpxgeW75AYeOBIYFXMAOdkCBH7jCNAlOMGl8cAtm6FSXtmxwVG7BmuUuJxcRKW4EIhABCV6zARdc5j0cTI3VVCO3wJGgbMlxkOQmoyvF/M0DGlgBCxnDlw3GhQc5HMGqingYW/GABBxwYgja9qr3EAYEGhj+wRKe0Ce4nQ0+P+AP8hKEPjjVwHtasEMDtLedLZhBC0+og8lyMp1t/alPaIsC+KB1EgKwIQqNecIUxOW/KGCuSwfKiQUKaCktWCBCCaKAFZjiFjghZC5dYiTnkjQBjrHFe0+6SZJQkIXy0UcBE4BCDiK3A/4ZSWRTgEJL4IgSBlhhIQF0GVDKoIX90ex+QlnIGoB0hvJo8gd9iQIdxOAfYZ4BASi4gx3YgDQKTpOaZgmE+uiUlwa1BYNTs1q8qgYYZckAhRk4TKwQg5kgMsqDj9pBZzwQG/hs8QkzgGJwWCMCD+gQT42hpNSmOINNweBttDFMCGTwhCVIyokcCM7+X37AgxV0QFWKKd7Z+nYDLZyAdSgpQx3wk5AoZIEOaITOd56gh0CexF08A8w82WIDmQqrDF3gXHTWgAXN2K0NMMlRGwTUoB0ssl7a2wIBNaNIet0PAWbIQiQjKdOX0ugEjTTqA6hwLrZowQ0GeJkC1pCFLKzBfNtRQAU+t0NwIaF0NynAFJoUPyBtwQFWINoaEgAdnOSvSf3rJRIqhgIXJQgCdmCeDaRQknFxBAV7sEMfBlFNyU72K3iwnA1q8CerwQU+yrqMYG4wO9VYjrPJoaPl5lJPEMSKcYXKAAkU4xc7rUZR1RGoZxKj2TntoAU9PM5lCkMZ02hmtsuxHKv+gGMa+LCtNIJiaAhKIAPkiFNTPkSUYraI0Rt0iQ0m8Z+WgvUDLRxhAECRFrUY0FHpLA8HA4PXlnygGShUYQI4EmbrKFCh+PZAC2QFSkrqUL2EyMyQL0JkMS3Fn5AN5ABO5ZhmzjXHudCIDfUalwFAOjv+riF7pGTDRzBykwREQKeWegISfuLWKrwyfrhMXxaQkNebAmUChsUCHVIcJSREIQpsOMC4vtCAHdMRD2ywiUDuu4U18MEOgggEZaFczUBcLWB1EepleNCp6f5qdnDx1dXiQoMVeMCcro1VbOL0T7p0dge3fSjcHqVPD6hgMJwxjAdCY7bVlEpZvW1b2bb+xMMN0BBSseJACVpQQ5G8UwMfSKhxH8MWy0HhCKxEEYjg26UiEMC8nmtJy460gDeAZD1SeMJ6eLyeA1KgqDfxAh2WQiM7mGGwKClA+vhUoAIP5F7L26AlZczgC+wBJKmmURSkkOooHMHC9PHCEfDAlChowQx5BUoC3ADinJUSClrd7hOMYOkvFOB9G5KfktKnBSo0AIwv20lfxe0FJJDMyJ/8QkuZIl4ULBhFbLjDICIYZYFPUEvgXAxplcUDGrRgBSuM16OU9SvMoYa3IAhcCFZbqBAQVM+j5eLaeEuZQ4GQtPqJFGmwCKkSFOo42+QbXkYrUc9YZsBJ1GGmJBX+ghgoejao2sAPq6MsPsVp2W3NCQPfC4UsQKDW5UGpFZ6Txi6swQ4fIQqZqBSjLCykAkUlD7ZEFwU8TKEMzUbJA/IgYMgYaLAcIeBenIejm5qBDlXHgii1/pErTPsI1r7WBbSghR7gAY//XQCIshDiMGpLRDeIAhJ8Wp63vtIlQHGADnhkBwiY72Uws0OXeKnjJlX6vweosba+N4H/eghEhHjywGG/NLWcBj7KqcFlXCACEIAgBTzwljtXJfS8JIQGJKCbCWJgAnTKIKNyWoxeiheoEeyTbPC6oLJcsE8RDEZuGyiUPD24Z8LlMDFw2oELaPWqG6CqUCmfjUJz6AL+OP0KbVtzS0/YDRQl0UEKPRD7ERwg8r6gCwCPWp7jfr7ADNxgDdhgDYAgDoCADdgACIIgCIjgDoqg1VDC9OyA2PrL6G4iZh6jkNil1xDMQbwk2AQiDdaAASUwAoNgAieQCEiC0ySmDGAt8OrtvwhgKPil1nTiCs6lktgnxURmJT7Np7QifaZtXRAwBA2rJ8QtKaTAScRNILygDewAD7QgDowwjbxgCvgg9shwaaRAOORktAJlBuRMA0DABd7is2bgBYSOB14AUZaLt6AonmhgCWaFA9wGc0iFatbG5laItLBMWQDnA1rgDIuoUHADm+xEg4YPUkAlzy7DcDTgOJT+BQbILASwaIpogAWgKG9MhbZS4wmuQH5QwgtyKvDs4AIIAHg6oo1UCowGIgzEoAEcoAzKwAscIBgdgAEEAAigiQC44yYagA3qDg4gAHjKgwLa6C2egO3sZUEEzAbiDjq6YBcdwAsMwAF4sQF4kQFOAAtsZ/XWSBDsoA0ipkMOAMNGygKAcCe2RVGiINz85wlSKr1uogwwb6QEC1r+K5eaxJNyhA6ioAfqwB9v4gC4wAy0kA7M4MfsTSVerww1Uk2cZpL0xLMKBwQwIHB0JXKIiAdUIAW0zAVWgA5DS3JQ6DM6hQdmBXHKhrTqL4MG5DKSYFMSozp24AVUIFAmAwT+Hi1SYiU4hmjoooZtDkU4JMMz5A/7AmcDpOsMlwAGaEW6duClXjLSmHK7sOABmo1zdCIO7KAO3KAMmq48UseMQO2TFEABDgAB6HILDmAuA6AI7qDvEETEIKAFK8AAoHELikALMAMhCqnt7iUKqicu9mWpEHAL5lIiFmAuF6AuKaKBykCvykMMUMANzOB2/gsBGODz5gUIIYDxHAQK9BFFMEx/qiXy6uoJfgAKNi2NcuLdesIIB0JH+s8OGMAi/cULzCAORhN4OKIM7mAjnVNN7gAN0abiKMMwKgO7lGXhdu8FIkMEPmAo14YG7owrOcOJEg0V68RXHsUTSUP9Ei7+BXqvNkhDOD4lVp5Sz+ziovaChzyA4y5DK4HD9yCjt2yDBJIgy2BABG5jBBBFtqYmLB0ECyagLENtAtwABRwgDKCRC74DCqAOF1dP//aSD5DAq/KI17ZADMog//4rAdhASzIjNQ+pgErFklyk80IUAZbEDhDmv7jAC8ogTFYPASZAl6BgIMPo86AqH6eQDtLHR3KmNn8gC0jvCQeixg5yCqdgKZau3VBkDH4xZ06imQLuOc10LPgAUbRG0oiyAzDgiTYgNpDj9iSjAz7gBSyxA1JAPzIxcBgUlT6lUDgOLB1Dt/7TM0YOJD/gA5agNQyFPlEIA9AsJwm1d3JIuiD+428o44h65gbmxjZggwVEwDAQ5yfx5EFXoxorwCIT6AsOYAEcIAGgkdfYyIzg6Ja0RzcHggCWjA4KQO5Mx1W3IDOt9AsS4AiiAO4WiTEJCMHiopBC5iSkNUQnpg5m7QBmLEEkYiDuCyUWAJGgwBrPxw6s79tKFCmmoBqtIABvoq6gwAYejzCLlTf9SmR2hOvKSv+2AEQ1QgHiICPPNGC/ghDygA4RIg9b4DfOyYnQLCF4oAU+oANCpXB6qPfgpIgwIATgEDlqo1DKxuMwKG1Qoy6YyDOOaFVcQGKzcuZ24PaeYMysMmS7iVJ5gFZCUbUyFgYmCVae6DUMrVYgAz/+oQajEgU3zS5IUPQv/6sWPTQugxXIUAIBkEXzbGqxQlQZmcAxh+94ZnT4uqQCbvRqgQIBHsmBOqz0rtZdmuQO6HGv0OcEweU1W4kfVydB3BUHoqBafqzzcmmXfDMo6OAJfqbCPBNJxuUMyiCyBHZxvwIQdCBRMKdOBccEVo4DjkjoonLOdGMyOgDoCCNwRm5LfC5RG+VX/GSKbA7NwmwFNCAFlgCeDhGHJFZU4oRQ7ckmkWMHVsA2QGAJ2GIukgBUnSgDiBc2amhL6o9S90IL2CAAYCJbxbY8alU8/gtXoecV7edpxXYLGoAKnoaScmBZZ7RTOYlri7VwdYJIjOz+WTCmers1KI6ARwCI84bp894CCs41R9K1GlnRAdJVJK4glv5rJ3xACoGCANK1S45gFqMXVyGIcSG4EADhDhhjbWBgU1ggCUxAVsxPhtwwoZKAJC0jUPzsPGcjBhjnUIqrm6IGayzRM2TAhSOlA1pgoSiKB/yGNkTAh0K2di+oBSiDBLCIB3oyY8nmd4nyMDiAMg6DBGZgkiSNaoSIz9ZnCpCRO943epl2daS1815Gau8AD/AqetURAqggWT3IRhPoqJaHeohKVz/ppgRCKyqmRPnNSjtPSljiIhBAWnXCCjqLLcBtCt8nCf8xfXDgZ3rU3ch1ZqwtStI1XegATOz+DQFdBgzQgA4iOIJnTzWSyDiWgCZfQ2c9azQE5z8D5wM65Qk+pT3tZgdS6IiKK050S1nsqT3bAweewBMZtSfnkzlkCAQaFkL5RKhGIFYMNCtHVXCkK5f95oI9gzJAYAQwlVCN61ccxA4KgAuwGEeBDAykxVbZBXq/+BVjjIyf8KyWQu00il785cBOQxvNF0e5I42CkCRM5pKBIou/wAFYogfmt0N2IjU+Rku7rcXa1Qp6QCSyoAjC9h+X55hAMCgiOVwd4ACW6Zs1Qpg2Qg0Ud5MZ92lQKbiMMjRMYJ8SSjB2Q4feKXBKYzBCuG3QsDU4oD8RrlDRJvrQjzR44B7+30lwlqAnN1GQmYg0ZiDN+KZBArVQSsAElpkRgcgvIGUFQOAD2mYFqjmKh8/55kQQBQYPIuDIOFpsweAMogWtwoMBrFdswfhhGMBw7U03EwAFou1slhWTTHC0vlbG6PkJ/1iUTKRbvTmBuKBI+fEJWmQ3sSCQ18rSwMCXLDpnvCB92qPHAqDztgACdOnxTMrWdiS+sKAixxqOTWcjBAGkOXktBKO3Bu1Wps8oleUJgHhSLkOfTjlQPFEDhjK20a+mm3mLLGoQ2YK3QHe6VOszFCcEfIgpaAMEEAc7tXqrLwtSAqdnrTNU4GR6BuMFVkAEUkAGEuNthla4VwMDtxX+elevrAewAu5gQ9IrV9FZatfjQ9HZqAwARIIvIcQ3eeC5L0iwcK/W9KwgCvgjX0MUyaIjQAxmIMljJ9Zmu/LR736TDlhMfpYQOW7TijOiQzI7Ro7Ju2wtXbcLNzlvsDfiDNIAtTf5TQLlNzZOMJLopSUn537rUyiDoFh5BTagA37yMlaAcUrjptETL3R3n0DjXIjbKHc5cFjA/AxHV6w5mxqDVRoqhaQSDf8ihwOFBgRFNrzay6Sb5OLwCdrACwQQnTviDtzoANE5aoEAPKwABeiXjA9gSKAgun2AbY+M1xAJeSUt8aBxsIfpCsIVCLzAwKP3vrNbRlGiCzYmkH3+IF6RInALhF1RojYFeV3P3PMKeAomugCMAEahoA1YSdDBgAykScUZlw+iM/te41UMSnDKhjZcYwNspdD2aQkuY6Hm87OSCBDxMLtWY5uK/OdAS6IwALZ2IAYCZ+dYuSg7ZU25up2qQ7Y9oFCWmDL+LLZqD+QE49t9GLWipk6iuB83XYtTx41YEZ33SM2xIAgQ/WrBwPRihJsiNLGP5F5MLQ5ZZFa3dwKqgMfkAwHQoM23gNzu3HsuAMSvNAvwooCN4G9Hhn/9A5xTBjmY4w6CdGmZk0cUS395x/GowFoEPUjSoExVXWDVfAQ0IAR+aDC0MgNOlrcoCjEQxRMFJ7z+Z5gTLyNSlpgTvzz88qJ3dJcynH0HYnpX/saJTCCUe1LWo/zgqsNvpu+cPOMD3hDLe6XauS/itmn4JC78PkhZSIQC4l2L2fsJ8kCA21wBiqBJXNNpo3ePqCMz1i6x+RsL1Gq7xLfNeQ0ChJDATcTvS4kl3oNfOgyciaktbtMIKJkgpER+QW0jUqaYmAMPzL40l4QfyxxdeSeRvQRbSz4N/CDlI5jVnVsEyHMExIbmdqA4PICGQmP6JPW6QrhzM1WGllhOJ06ItAkHfJxxyCZQAKc0zpD1Dy0JkiCHXB+b40QwiiMETGC1QEAEVgi7TOtPWlZZ1tSGsincTwsynoD+Dbb1wG+CozlUdd7a73f1MH9AVSn0anWUCrrNMS4i8tj4+tIFSf0+CEVCCgCiCIIvBAsaPEiAjZYcOHxoQaEADJiCELL8uIHRB5Q2Xg4amPLkiRYGXyZKbHDFR44cNqSs6XjwCwUsT6RMaeARSRQcNn5oYZOgy5mYB9UAKoQ0qdKlTJs6fQo1qtSpVJUCCoFBBI8nN2h44BACxpMdPEB46CCDB1kRITa42EE2hocPMnbkIEtiQwgOLZ6sxIExsGDBOHDkuMFDRIYQMbbSEJF1h5QaIzJwKFHCxAYPILYOvgEYsA3BO26MBdFBRBIYK1bM4HFjx+jCtA2PvnEYd+3+z7wDAwYd2KERBgOJSpRIME1JLhW0aLHzgKj0ggrWaHli4ycAgshLEkVAQUuU3IFtPMFiYUHJiVssaPEh2GH66ca3TKjyw0eUKQ4O0C94gANURGHDSg9FNBFBE9iRH0Y/QGGEAQcVMEUUPtjhwBYTnQEGSk8Ypt8REh50QBlYaETHiAUZoBNgT0RBRQP+0ZdGH1XdiGOOOu64FCBKbMBCaTu08FUINJTmggdzLaHWEiEoeSReGoAwA247LAECB2DBgNttBQLHW2GxlaVlYzQQ6UELdu2wgpZghfBkCzwcBt9tuPWG0Q4pfJDCEkvMMANcdrFUW2ErYXTYSn8xpBv+mKFhZMNvgeWGAxRVVFAcd9x1dwAZfnDBxRZmiGcHSQeZ5F1M1WmR3w8xdrGpSQkWxIVCLI1mpw9YXKDecVugwGp5DkH0X0xbmPhDT1dUMCN9XChwAqsgHnjQghfhpl+EHtEBRRRYZGiQGFVAwRAOUaTIRUwTYCHFfjCtOIUWv/mQBbExDUWQH0fxyG+//u6oBwhL7DCWCBtsUIJaO7jQgQcrKAyDkiDQwFVZG4BQWg48wLAXWDL4ZSejg90mcll7kbAEDCJwtgR2OaxgmZZtCTxobL7hGZgLILzwhMKl1bCoYeXSRjJDRguWKGF3TloeDj9kgYQB6hHEoaYEHWD+Rh9hIMBcFlpkgdOpqM5a0AJr3AGfT0UQUNDYsyIwwRxS2AlpDj9ggYKG3v1q0dHyJVDsQfZZkZ9+Uacq3QIMICHvaLpCNCsXE1iBXZcQGrCFQQbQoZEWDqTLXQOUJ+v0q4Kv+3SKHrVBIHxQaHEEA81SXVAaghDyb+66785UDGPd8IIHepGw1Q4rayAnWURuoJVpMygpwpo7sLCBzEeydJjQ5A1mGEaJcZBBCTGM0HCQOxhGPVhgOUzw0ki/7+UNPbjwAlxh0qao0IYa3T1wSQOWm/+NrDBZwAMEBpA575BtCwRwwyC8wAUEjCoKdoBAAgNHEASsQQp+6QEeqFD+ANB1Z1ZbQAAbTkQeuwDGIbxqmwLcU6in2QuDX4Ab5TAChStMYGrc4dCsCCABViUrNg8hAOhANblrGSYKRijABbdQAG49oVQ85EIZqvAEH0TqaRDgIUG2AAEs/CAKTGjABblgANblyQdSyAKmQBcrMPgBd7yrox35BYiQsOlgYYFNWZRUl7UcbASlucHz2JeDJzxGZhyggfuyF0A8JaZ6YAHBlI4EmickSX3MS0IhfzMb3ByKPIe6gQ1uU8j4KWp7+1MUmJJ2p0QBcGn9A01hfEKHB8yIbGAo4QToAB0EBCA8UbgCAxTwhS0o84JfNMgBEIAAIPjFbk8rQn8Qtzf+BUDADne4n08sgABlJhMAKMiCmE7pkBMAAJnNLMgTv3AALgRAAFYwzQ3YyAYGZK4764HnAxjnA8DARQsWCEA8D7CAeYZkNAyBUAAWkLktHIBCUXiCFQTAtXAegAE64AponsascBJEAQeIgBjJWIADKPOZBTDC3Oxyg9chQZdiOwMd74jTnFLlDj0DQfU8EEivXIxiPPCKkljAlYUpaQW/kwGc3pQEkD1qlOUZTA14UJm9bMZhamEUDXyqFxCYr1Hv85+jXFlIRPEke4K5jfZG9kqzIupOvyEPbcaYhSJg7jsGUEgWLFCAApwgCj+4ggAGYAADeCEBBkgAFxaARlD+SdYLXiiANLlit/1QQKSCSwAEjsAqltgMUYeRwgkKsNgGJECwhCXPGE8wANV6YQEJSMBiG9tYxiZgAQYIwAmgUMgd/KAKFzAAOw2yBQUYYA1X+IFATfMEIBTAAGIwQAMKIIEsYmSFTWBAAQjghQYMQAAggcJFp5vYAERAYcnyCRAC4IXGqrYAFMhiFJzgXcWikQFNGCJM71YEL2SKIGjwg04PjGCnBEIKickA89Ryg+VpBS5J0gsMRJskDwQpNizAwFONlLG5zjJMpmSTB9pysM6kFTErMIsIWIDJo0EqlttV61/A5FacIW17Op7l9kopyltqgQoVaAA0twAqaJb+AQVViEIUgiCBDwgBCj64wgkkMIEKVMACZrCABSpAgTBTwAJitsAJhlCaU7bECkOggIBnlNwBQIANe/DBD0pZmu6ZRwgS0LKWJRAEApUyB0+WQJ9R4GcJhFnLX/bymAEtm0LmQAtTqEBjkQmGLiwgQCiYghRIF5gnQFkCZL5yCoBbA0T1QAeKHnMFJHCCjkKBB0BotQUkAIQepJLQRpDABSig5TFL024+uHKiY52DVENqjEYAQhmgyZ007CvB1E4wHniQlwxs2HjCIwFZ9riZj40GTWpSJGQw47GxUIppVd2uQCucYjXFJjc7eEFrYAwXldTyZolia9CA8ygdC7z+xmD6jKRIa7Qf+MQIRShDbwmAAAOUoQhTwIPCe9CEJuigVTqgg</t>
  </si>
  <si>
    <t>WR+RWZqAsEEIwAMFHAwpp1M882dwW2ci8iZkNtpiKtJpxa+MC1W6dohCHDDHdpAhjLMIduBiIC1EqbrjDj0Pj3YghceMGITGey+xZkpBy+lH+WkiAww6A51PPfc5J7PAmGYqRDCINXgJD1eCIBBfDvz0uc6xAxxKPtj9Gjfh6hLC9Fi0HzW8IXr2bORTBSXhP5QbEhClQdaOF3Y/YyR8WHgC0LAdQZ+ipEH/EHSfNmCGAjh7fLAwRDlLr1JFlG7l/HABnplwQ1aAE0QnOAJUHjCYKgCpRbObCf+MdtZMvFUk2T2738Q/0AJbuKZQFGmKjtkDdNE1ZmcQJwEIHABFG6gAhGoAApDBWHGZ2K1CE5TjHZelA1MYAMs5LDNc255W1oet1W/H6DTjMwQNwiqsQ1BDCLJruUMhABzkAho8FsZkCEvwix/JjtpsHR4Ex5IEHbxcTAFxgeqhhobhXkqkgFjMFsfdzrksYBUdUYPojxboD3nMXWhMwBOZXVn12qRdwFgMARw4wNaMAUGsBwIoiDEAy9qAAGBkAVCoH9/MABRpxBkQHaHl3jWkxNBOAZMMADmo3MakQANEANbUHkWkR21wSIcqH9BQAiXZyF2oAimZ3qLABegQQL+HeACKIRwsvcETcACHEACgMEU8rZOOUAUIdBLA2ECZkIDdnVYWRIZOZAXzLRkTRB7ITAmfDNNdNIXP6ACc3UCTeACIyACUoM/IIRwKlMTUJE3MSQXRlQnVlAD68co9gRznfF+ReR+cmJnoBJzNIcTESIGgiABC6B1M0IGCZAHjNAAZaAAQzcGYiABpuQcVEUcVGRxY+AFBvBFCugQCXAEvqJO9bRptcEAbscX71deLwhdzoERVgUGLpUFYnABBGUg2pEAFJAhcXMawYJTDzE+EyCDc1GDSmAAqUMGBrAufRdeZDAvW6R/xoiMDGh4yvYAqVMGB6AEW5AThbIbGfD+W1PIEGXwbGEQSWIgBg7weGlQBiySR3MWVSCYBm6ACGZohlQEFZKIcHLIASmQAmvDAivwAR1wAjaQBfdGAi6QT3+oFmExfSQwMz9QZL2kFHr4ibaTAyoATSnAiEeCFHTxN9CnE5KYFiFwAicgAiggfj2wFGsIfirwBAHiGB0UirIYipXFGDtQHXKGjzD3iHGhGnEWiqPocBEyBn5QAeYjHypiVX9ACA6QAAEQaU43AGFHBovpbAGAB/jRFp73On7JKufDABIQCN/EO9IEd+yVAIxJBgxQLPfklkIgBi8AAB8JOQxQBgFgj0MVYEdQPAlTHgggAb2STi4zBkYQAAj+QGuFOQFsNWda4AQCUErngwAG4FT5wWcY2YsD0AVQEZlikAEAAJpkYJv/sQVTUADW6REfwgV2ERnlpQR9mYw81wBK0B2h9gcGsACPhwAT8Go5oQPNOC3KcgdnpZKlVwjf5EwfkAJNQBQtMJNQORMf0EsfxAFUgTfFp5XzZIg3MzI+sxVD9Sb1thPjNBNQuRi1OGdz0nBp6FkHCk+61BY80CcPhAKBiDcAZSd2WWesyDn4mJuqkRM5oYqlIipqaZcv96F52QMciQQHgD7T2AAWJS0GYAAv8B9iQAAFcABRugANsAA41ZBXOj4N0AAGcARDVS9dcAG0xkQLcJtjwAX+cyJGJ8oFL2AAaLAAD7AABfACkYQk9cKmcOqmC3AAC4AGUSqlD7CnDRAAFKB6tvMFMPAAckdiDHAAePCOgKMURmAABwABlGoAhCqEc5EFTjAA0LgGD1AAETAFFAYGBGAADXAADSAAE2AFKtdgYkAEAYCqC8AGB2AAExCEQ1AFnRqMUToAThCerrF/RrBGiHYARhAI0SMhX9CpVYoGZSAARsAu6GZxXHAEBlAGDQAH+rmfpScI3/RLK8ACROICBnqgV8MFfXIzOgEFTnlApwE1KJAmF8pAdQJ8QTEQMxCTUDl70gREc3l1huE1CPcBA5dybwEaKDACKOACOYSPqQX+KjxEF21xonUSi7oFsEEkivaHl3tjT+XlBRrwAJ85PhiZABBgBICwBUNABBRQAkSQR2HwAhQAVhqwARigAV+VARjAsxrQsxhAATFwGm6ZbGCwBBjQAAgQdOVTABKQBIQQBBFydUiSBUVAs2CVARRQBBD5iD6wBS17tVgrtlhLsxOgARRABIWyE+m0lxmwp2FnBmQAABAAA37ABfLVhEIQAxRAAV81syawBTBUnz6gA1RAAT2btS9gBQOBBSZwuH2LtlYQIA02IDyLARlwATtLBEeiqzPrVUCruIS7TwOCBxBAsuXzphrQBWCwLQ1WBXzrsxcAtFc4JzBUcDHgszD+kAfdaob9eQUukBYrwJVNwG6UQVc3YCQ5oFczIGa1hKFAgBkqZFgcQBMzkxP3yhM/MIcskDaM6K8MB0SN0Sg2ECUrAxQvg6Y2IAMzQAN1cxoyaikX+6P3V7F3Rk1RVn65ZSmccSkSogRGUAGCmgCi9AZG4AfrGQRO4ARUkKtU4AVeMAV+0AWA0AUSDAhe0AUZrMFTQAVVMLkFR2FLoAEOcAAJkAAC8AATkAReEGqqiL6gwgVUoARe4AeAAAhT8F8hJQQRMgUP7MM9rAQ97AVf4MNDvMCwdk5bsJcADI2F2QAScAReYCw0lBMJDMFB7ARWIF8wFBlZQAVd0MMdRgX+WhAEWcAFGgzBC8xFDYYFTlDBNJzBTsAWoebANIzBVHBOGZUTxtUFRhABDaAAA3wAEWAESiAIA5ETQxAEVVDHFzwFVWB156QDijwFXRAIJ8a7pbcIhVAzXOZOJ1B7ejVjLuApNqAVT4YyWmEDLlO+RxYlRDEzMAQ1MyA0NjACHHAZsncDm2GxZNNi1NETKpAXi+UppNgTKMcTO6SjsGhnfVNEuemhqWW//kRmfwOjlhJqXAAIS/AClqsBS9AFZvqxeTYEkBGEW6Ahi/Mg6JwFGqIgCoLO6BxlZhwGSiDCPWsERfCO3RhSHKsTKLUF+SFpeURDnRNqGrKy6KwFXMD+BfGs0Eq8sjoaHmPwBdxsuYUMLXcrNha30GOgkewCsEfRzlpgptsyEFzj0CsbUm+BH4sjafcxEG+RZxpippVHHXPSdGPQBUtgBD0LA0uQakGowwLjzujMF43RGSRdCJlshoswCCfQZSGQiU/iJyeAAsxrb1qxy301rmBhOz/wTKDMEwNUvcksA1rxbmVyAjcgYwwkTSDasWKzEzagAiUwA8mUv+v0NvVLRI4B10J0oi5KaSElKoUtzTLHGv7cGv4KwlmwB0oA2V0QBus5W+VMf/0LmZBRzprdv51ndXIRYHwM2VOgkS0cfXpssW2VZ2cqPVY3uTjRYC1czmZsO6H+xlx3W3kt7EGUGy1doAS+zVPoHDfQHCrZbNub/Yjn5AN3G2rLjaadbdvPlxQMbdsghc1K0dyRNZWR2dtTANlVoJFckMekUnm53YE4TbFDIAhLzdSaPAgs0GULejJPYwJrlkNHgjILar3KlGU7oYdIY1dqPRMNtJNpwQJxOBgo8AQ2A0ygCEQytNEa1RM2UMwLRyqITLGDTc0zVKd1gr+pbdiQOHNx3VahUh2hzdCStrJ8MckRck86AEPdCKJy2b9vNlNRBhkMzdCCEM98YU83qr+5SbQ8UM5CUCWGEjBJXjtIchTVcaZK4Zb35Bk5IYRVruMlHZ6XQrSVlU5uCR7+Lh4hY1MXNGRxXl5P1Orjs2W71aEDHcS/GYU/kJFO8Bc3w40ToYbiW9DQd7tDXHQpLJejtttWXMDe7c2fUjCTHSA1+NETORAWkZGuUaIYgDNOLPMyODAThDU3rAV+DfQ0aVGJcyhvqbwzKUe0GxTNeRORtiXnfbFPcy7nu8U0+LdqdVYdv/zhco2/IerLmzlmcLfaEhLdx80FEYLcbeEdXk6xFrfDf84X5RwqIHqjRB0EW3ApdTFNvyLnpNhyqUHO1M1cShHTbhaKr/3W/PsrkBVqAXNgWXDcmp1RLXymac6/RJs8Q9DmNVq73ujiGrXDcGfky54Ut47sOMEZ5/3+cel03MfdGZsdNnhj2REi8DP17Ott6GbYB/y61XcZNsr7FTnkGSAUJxma6VqCJysAlR/gAonFZZ3YQlbmNThJKLseo6cFZXIBQzKKo25Rn7MVkbi1W+Ebvw8+zbo160Iv9DWVZ8tdztsSYCs+72dK3Tru3MxNHaF2JHe7ssw974U9Tek09dS93E9OsSAX7RObzXrOBWY62TpOReXsHQF/8/ho22dqxtfO2l2u8GO/3O5OzhZncS6H7U3vtXp+JK1o8A1W9VDB53c77zlu5G7v7p29cv1b9Uz/7Y5/KcyN9ZAJ98+8+e4u9YV+8eXmCC3QWjeBoyFd6Qk6N9lXJHP+AiZ8mAVPYAIewAItoDIs4Ck4EHtr0wHbV/syQQJlsSjXPEOpbeIAJebYjltm+Td1WX73F80bRP2+LIpBP+Jy4uQ0zXcNvUl8h9BYqAVYkB9YoCGsiwWS9h8srSHGlW0QHc8M/UJA/88SotAKYlyVF3MBUzpEDhA+uHAZUkXMFy9T/ExRsrBLFzBhshAU4oPHDh8ZNV7kIWSLFi5asmTZgmXLFiE8MnYcKETLS5EnX2LBwkUlRx49Mg55uSXMGC5huJysuAOjQCAjR2LRctJpU5hZtAz5OKapT5EjVbpsGlLqS49OP2ZhumWMVS0SwYQUwkWIECA8ZZ4s9MjuXbz+efXu5dvX79+7fVDcAMIjZw/Ehn0MAfKExAcXV4AAsTFCBI3CPLLMSBGCxRMaI0i4aEICxAkcV648+RDC9YkPM65k+YGChIgSP3YYVpzTcA/fwHcAV7xRp8rhR1Va/G1YR2Lfvpnzpk68d/Xg1Knvzq795nTqzLkHqaKESUMmftT7UdK+PcP2gBo2XCL//BQsPIYIwULF/fnz2GuvijGEGM4H63wIwokppgjQvS6CGCIj636jaowwwHDwCBg0wACDCy7IQAMNjMBjCT9+4iKLIYbo6CIfMOpBiCDga0/AAV3krgonvDhvvh/b60Ir3ozawSUnlHDQDwCVoKIKLoj+4689PtxraEkmGLKRPSbTu7EhJ7IAgsYvlHQPx/aY8JLL9Jj440slnHACiywE4hHLPxwBbE8+++zTET4kGw6x45AD4oYPIANithlEGCGHHzQDggbXUnABBQ9UeOIJ1z747AooUGgtBA5QyGGySUfwoITMvLupN+IsknWljHbT6agKK4zuOllf9a7C4ZpTSSfgis0JPOJ0ja7X7XiigAAJKpB22greqOACaaPFlto3uq3AggoImGKIHbKIYYJoqZ1WgggomGKLIQq9KAsiCIgg2m4dCJcAKuIt1EAdhhBEjCmS0IAABx4w4AAFGl7gAIgV6HYCI47oAqgWj/RBh+X+hHBignsriGBdAl6YEKMhpoBW3ZFbxiAGLbgzbDcfurBXWgsssDYCAorgwqIezB3AWqIrkCBapEO21uhvwb0XXAKMSEqqZyOIANx1jzY6Z2vBtUCCnHMON9wwh+AihqOjzUAPP9t2++1HHFkRQbqZ2xiIGRJtQrUnLDPhVMMmHRW22FaDLYTRoLiiURIaxyyLHRYtYQQZtJO5OeaUxXzm5VzlHLtZPb8cO+0SdNVY7YD2HDi7hwhjAAAYkJ2M2RMoI4GGFSBDAQZyb7gMBcooY3cBlJhwDCIAWGCB2ZnvnXkDkhjD39108OgFAQRIYHfgFUgggHF12niloXzMoIL+BhCQHYE02k8DAdoRsD2BBBp4wwgmviAKI958yEKJ7HnvdmWQnQAoAK/hDEEJBogd7xSwANyR4XYGeMFaOGIUzSghAAKgnewYgLsAGGELOmkLEQIwv+6ZgQEqZMACfjc85tGOhTEMAAFWxJ8ICGB2HjTDAmjnw94Fb3sL6OHyGHA7BQQgBgTZQvJ0yIY4MAJuU6QiXxZRiCjRrUg+EMIVXNCazzyhUSPATGEmcwMSuOY1OMhCqDoQgg+IwAZXwEEJSHCCGeAACLKijAwiZRGZqQ5Wx7LO6FhXJM9t5yasQ10icZKdZO2qkbzR3CGVhREhhCECulOD+zz5SVCS4ZP+DDAAE6YyhiQUQJTt62QaREmGMzAgAoFAiXWkQgQOenJ4ZRDAuybEAx34bwhj+AIMJHAABpBhlaBspfsGaAAJGOELYiAIx2CkBSUcYJnu6+EEpqcSbB7ADO4T5TjTMLwEOEAJbukIc4SwwOF90gwKMAIXAuaRJCRAl2loZTM/6U9+8rMMFwDDSMJwgWQC1H0K5acZ1PBQZUpQAEtgYhIAYAYzuMEQeqpiRzu6CEFokQeFIQ4QWJDGEzTBBScQgQmgMJmR8qAyrekACWQjprw9xgM0kIwMSjCDJ/xgJaj6QWHs5ivvgEcxo+vfdT7H1NWFJzqHdGRVsaO5zX0nEBH+2CYoA7pQVoISAQdYwlu4gAQfgtWTamjhEcKQEmB2JAwvCB4oy3AAJsBLVm0ZgxIy8AD4KdOrrHwoKOnnAA3kdQvK4YEWlqBNry7Am1kwTDiXyVAFaEAicL0IF5iQy0+SoQBG0EJKhJCFJOhusF/9Zz8f2smBjkQIYKhAV1cL1n46k6zw2sIRBOBQO0jRo8OlYiFEWpyRuiCNIUDBCUYwAtnwpjA5QIEISNABFDwBVTZ4zG1kkJQf4CCohTHSSGHav0j25qiTzBwlFaMrzSm1dFU9pOrkazn59kpXR3XdGxTAz2YClKEB7WQnDaCEkaByAYVlMGvL4AA/EIQ3Qhj+AxL+61UFvMtubenCBQ4QT2a2drB3zYAvjzOE/ymAoQzIQIH2yAUlNMCcBQ4lWQXxFu78TwBlKCyA06AAPKyIJRb1MYFpvFYBt5IBF3hrFsJgARW71rVrpfJXd6cElHDBomqoAyI4Slwwu824pQMO3j6QxhR8IFM4SEmrfjAD0ZyABkXVzA9U8FwU2KAwYpIMEIwCnDa/CEZItep7d1Ud+WI1ksxyb3bu6970StKppFuqYZxcgTL887YhFmgDlpCFICi4wQ1mZQKMIBThkMTCmlaDArDsIsNs4QsbOIA+N11lhSbgADAQwwhR5tkDvFaeEwgDrLXABBkTeLAJwMD+FyhL3mOLk7AALkM9IXfaJCBA2D2+taYRgIExjAQMcSADt3PL6sGSAa+lDUMSFnAGRDQizPNu2yJ+ht4y38ADaX6MCGbwA8pSBwg5KAEKZgA4M9rZBP/2s//OeyzuGBVBUS00Vg9TaKtaXJAYj2qk7WuYIdA20yEesFfJ8L09gHoMR1hwyduXAAsoYXpGobARLtzjTrp6CzML9REMMPLVRnR4qyR1+27XAOn5eUZbeGxYF2qGyWIknN1OA1nHkJkdwLgArG0lPQvUEdTamuq33R0FmizysZPTrro2JYVTSwdF0FvufRKETWB0KyDg4DEdOHMJAAejGI20BjY41R7+YQ2EHxCeI+BBEGLsRiFh7YrR89X46a7qq0Wrl3UriZWxBBnJRa+kqd8hdCbfYFtPIkB+9GM9/NS3Pu8pUeVJYIDL3bcAGIRhsUfSwqqV3T4G5NVFbflCBOC3Wvg1AAIXiMMbIED0I7uP2V2ANVWY0PJ/muECXz8tEw7QbTUM1ILz8sP3vVrtLKREKtnm9PtulwDVMwAB3mv9yRFQQ5RkYdyiHPDq4d9B/6Of9zOAIpgKLsiDB/CyuVvAv7C3gNOivMOUREGBOcM6BNkNMTmvncBADSwUXJGXxIgv0ps41Hk8+/q4ZaGqRSK972CW9vKVXnFBqXqVzesc/fKVTHL+ANRrHzfImThovuYLGziQFmy5AAKYgD0wG1GjMm5rHzKAgLyqiEyyOWUrsAXwgy2AnCxYOQFgHx+jMQmKAyNIgiVYAjzAgziArOhrHwRwgE/jIp64PtZiJe0LN5WAsQagurs6AnZyCTmUsh8zgq8DAi37rwALqDZwgzewgAtgRDiQgAt4gyBkRGyZgBfgIv2zAB7TtDRoAziQREm8FlFsRDigxCOsgfQbgyWIgy9jQFfUCyz6jYnTgTc7ARIwuJdCtMBTiYCbkB6QmcwglsyZuNHDnApBwRhkwVhZlleZjtC5Qc4TlmhswWR8xo24QdKzpGLsgSEIhNqaQ/dBAj3+SAImIMMlUBN0RMc8KEOYUYkldDpw/LENAIOdowojYAAjI6e8GimfuAAAOAMAO0QG0IAkCAQwEARBGIQwWIIM8KEAey0yEIAXmApuPDY0iMc02D7K4gkluMjBKrDCSoAJ0B+W8D4BOycksMO2YD9/aiU40IMTOUc1KUMlkEl0XAI52Q8nu4AdPAM7QIQyTEehPMcyxEkrOK0x0IM8eEWm1IsryiLxGSkcUAEVmAHFaZULrBWcaLyoDBwKOY5igTzumCQaVK9qlA71SktthMZmTMsVPEu0pCrr0MZsTMtoZA7X+UZwNAM9IAQxEIMxaIQxCARCGMxAaIRAAEzABIr+I2m3BQsrQCy1BlgnIRime4zHBZA5F+GCxyq3QwS+C2ACahKTkeCCMfCDC6AfMughFWKeBQAAAogZbtwCJjDEUGqxmNEMZONEnIMtAziCpsgkPwA6ZaMnduKBLUitOYQoOWAEQhCEQDiL6JxOQiDMv+y1ikAxMLAAc6IyeCuE6RwDMUhM6yTM6AwDibg2QQCEVmzKprQ34zCvHJhPyaCkWqEVa6qbrqSZQakqZ5zBpqovZqQVGxxBA33LYWnBtmTLtlzGF0zGA1WqGQkDvQSoM0gEQijMwiyEQhgDQigEQRiDQnjOXssYqsCDBfiqI8O5l8MAoRACMUACfARHBsD+wlS0uZNsH7w6i8qMKaoIgyMggDfQF6yRgEccAAoIAmKxSK9SAzLQyN2AMY+EzNdisIdKgAqYAqsIAyYQnsgSRNPiAiLAx4d0UjlwBMEM0edcU0HQUEGAl3uTKwsASIViAy97zhAdUQ31UBEdgyyEK4GRN/ccVLvAIugIHFQxo7t0PI0gFseTl8OoG0Q6NEqrSwNNxrW81GWBy4/D1Ka6y7o8Krb8OLnUDwrlP7U6gzv4gylICCZRjwZRE/aoAni5lR14R1IDSU/yNLcQAyrEMCZwCyfDgARQqE56UlqKF7r5NTAwwzLEgzyI1jxIAiKIgSDgjWOLMk1jMsrqvjz+XKgqzUdXOoCUxJDdBNecS0nu6K0ZBdf2eck/SA8bQQ9W9YIqaJFdzCSebML2YYNVZRKFUBL1cJOFwI+3sCYuKIT2JNRXBKlolBnKqpv/HJaJA5qN2Epi+ZxiDJajSqoVtFQWJNUGDdWR3TgCFVAIJVBBStlBUom8RFUkg4MMkIAMyIAPyQARqdkPmQAiGCFyQRAFqzIqXSgFwIAqEIQwgIGbW6sFCNbT2k618iQgE4R7HZQYAQKQgE4OHQTzzNDz5ILdOK2OLDJWIoMMeCv9kFIkW85+wtI/OAvvo9KHMs6t0DJtY8I0YAM5iAOb/ZA4uNmapYAMeAEq4Cz9AAP+CXAohTIDOJCDD8GAmpWDDJDcms2ACYCZ6RiDRWBYhi0EsPSOCZHU3eCOlJWVy8lYjmgVV2G87pBBqlLZkDXLkSXZEcRGA62v9jrLWNk4SupGriLbgCKD5WGY3DmAAiiADzsAA4IX6sBV4H1IBGiAIhgYGEhRDEsRzeiCb1UoMmgAPygQClmJIEiLQAgE8AzMMEDMwxQEMIAp62u53Ookb9ICSzvXqP1M4MsDwlwCBQDIL/yxlISr5CRT3GqfM9A1Bfiw4FmA4z1eARgAJ0gJ7nCdfWWoM2gYhmGY5VkeBTjeAHiBiTCquuBchg0pYRldQkHL8CDGQns0z4FQy0v+HfpyJBcG0ESq4UbzT6lKkJd1OoBSvTSwHcEKLPqhgKkokncMSH5yAxFTgAkAhEaQ0RBTgGBFsfKbtrAiAwcAhPRLieHjAicggiNAgiNIAiQ4QzxIAjM+4yOgAsoql7htSX7aPi9W2/t1gzZQK7aCAyYoBD0wvyqkpy2wCHxin0MsLDJgH8E6J9pRJtkJAARLCQTJS8XVNGWCH1uLqEsugw++AnvygULYXBImVJDaDkKhG2CpVEPiOKjKYdVRllyBpPl65Uaj5emgy2VsjhKkVFuWtPvixlPFSKpz4q/jjeS0Xl3tRDtoA0MWtrvCA0K4g3YFq8wskBSDx1Yygwr+CAQt8LPCOC1zQRimEZl8qYAHiAAH6Jn0Q04lsF4qM1uJ4EX75bo7cAMvZC3cI4Q/VtECU4AABjva481NayVe6oKYmbiXNTdhDqXMQlsuEOVRJtS6s09UFj2PVTTv4I6Isxz3Yt3VPbTK47gYzjirwuFJmyre6GEWTTsF2D5Yu4gkFrY2QIQ58FIGu504UARpnmI/kK0l2F53NQMJGAMrUCpUCoAW6qFkiigjuj/SchEmpTEa8yZJ9qwGuCw6TIQ7IM4CI4M10ANEAOQAE+SwtdtRAz9qO4AuWCy6GYIv0EQ9Trsy0IDp8QFBiGjOddhFCl+LDo9H/ZVdaRWmamX+kOYVj33hRksvkS3GFwS9j4409qJUyetdCp1ROb4tYZMs5p0ZLUvRKVMDNFAERHiDkesx4bkDOuiqwqLiAvEsA2ith1oyQrjWuBqplQMA/nNSJoxIQdwP2rRN3KJjldiCbIpaV0qEP4gDsesxBZgDRPBfH662MeAiHmg3AoZHVqtS2EoAL6hMx/MJ7lTRJiWs6EsAzRoIiMbrQbU3+xQfpToQp9LosLQ4jQVsp3pBZgxQpKJviou8kiY0Gr5o+wa5YE670DIgkZiwQozfTvLeQDAC24HHBIADOsDmnOvp/Ygx4vQxMrAAqr2cW8WD4JHq7PNnMdBJJoDuQ6Rqeb7+6io7AD1ohNrE2za4g3FaaTIQRMNYSQDgOgPnpXFR1v14sg23vU+6HQ0wzRFWb4a1t0BiYVuhWGFZRtQNHI0lDowIlkoytETa8mO83SkvRmlkwf0+UNPpDhnOb1N9vt/zJGUyA01e6mRKIiMWNGwD7oAyA+8tBD94A7FzOjdoydVmgnBLGQNA1eizgEAwEEraAUE4gh4nb00zcRSfUqfTvngWiOLG7qYlBC/IgHalsTII9Hgsg39eSQJmqETuIA8iYgUwACfwF51wMgsgOQ5n9fU5uSQSxCVnclIWBNGhaP7+jUpyVBKsZckepI3L5TQX6THvb7J0ZcSO5WIUAm/+JDpQYgMLeIBtx5oHkBZ9CRcTSHAM5AIRf8g0MAMD8IItCIQj4CShhW1XI4gh8IIBKDfybqU1wMJfHJYdaCIA+HN+BWAxmJEsmPFzax/hZuerVqgdHQPvQ708bsJjFcSyfncfXiht53ZzBhcIWEQIsIB0vldlXYzt3MTWYgNtN+dv+fhqqQAICBciEIT09vX1tjvvgKuLrWEV/BxjiXbA7muS3kZZHlAAj0tJk2Ggj7RKJfMePj86iNYkmNZpVWOrX4IjcILc3HFUQvmF0mIvoIopyIALi2t0bbVgZZEvkIDaU2JnygPwJXbaHIADQAPtFm8EQAKUoDAmuEiGglL+3XRxUFIAPzhxMciAYv3IzzwDHe8sIjvkNICDO6h6q1fjNK76IsCC0EUQJyM3hjIDO5DWyk/jyreYRah5m3dPE1akRCJs1m/2ju4O+PpYB53sHOa4zOO4R+Nd/QZQRsukb+TXM+jLP7hO4xeDDKGTmgiCoUIlFfPxBzAIP2TzfGfC2P7ejhADhPpsJ9wAxvxFxCiIF4CBO5ADNhC2afPnrwM2t2+fOgy4gxf8TyJ8eCEYHfzIAl4AML2IJmr7UJIDgPgTSEygL2LCgAkTKBCYQGHCaBkyxMeQHULCVCiTZuNGNRsX6CEkZiTBhwsTIhTk6BHLli5fwowpcybNmjb+b8ZcJIgHz54+e/AAGpSn0J47ehbledQnj6VMnyKFKpUp0KRMffDAirXq1KFetfLESnRsVqplxfYESzapkEBvyHTkuBFNyDGExtjFK0gvlzF9t3Dh4kMIlyQa5XJ84EWIkCFfNiTg6NGj5DRqLqthwISLEB5hXjCIi5njGyaCtgzpQVFIFS+AGB1ig9iyRwVItgDJooXJgbiIL4zJ0jSLnwNwZyvws6XHEDFGFBy+LJkybTVljIwBwnNLktCWK5ORQ+juXrxjBO0tHzhLFsE+uICxYIb69zRrEo3Xqz/9+UU4/wMYoIADPlKIYDskZZVUTvnEYINeRRVWWRNKCBT+WFx5peBWFE61IVlTFaXgWk8JhdaHT2URhgPHzYYGIo2IkRded5lX4xhbBDGEEGMkoQB9iS3G3Bh+NBDZj7N5xIAfY/AgxBZLFFAZfWVgAEgYgUm0RX+KwCGdXNIxcIQWjGXBxBlfckRGBmF0xkOZxs2WhgJMbLHDEFz4kVFle9ImpxFcaOdkEgh852UaDMgBCCEPCRIGXgqNEch5YzjqlxBZXFTBfNNt9AB+McYYiCAOUTpGIYUQmKqqq/63iIERdhWVhw8aZWJTIf7kk62xPrUrVxhySCFYG4p4FoS6HjuUVbPukMUgDhw2Wxlz6JGEtUngscS1SeSxRB7cJlH+RBFCaDHGEQrEmcYBU+g4xBaBQEbGkUgyoERwdn4xAAPUTbYRGQpsoERCMQoiBiCJ2LFGuhvZxh4QYfAWp0cTjDHEdsWxGFdyyzXGowBweXlkbX92tmN3vqW5Rrd4JKGtyy63vMQS4sbgBGNhyBcyZWfcAS4T18K8hCKNsFq00UcvIpixtiIIa65SCRU11E9/VfXSH0rdoVkSxjorVGpd1WvYPWUBxhvR9ruRGxZAUMEbbr9hgdwWSDC3BRVEMIEVWhoWrVxoTLGcnWNMUQEChi68wGY8DTEGDAug6SUZDcyRBxN+YO4HHnE04F26CogJxKVMlOG3XBeIkVoPWzD+8UBHmF22sQ8WceGFBD5SNq9HB5DcJI/eIZ7GGXDM/cYFb8sd9xvLO+BABAS8AASl8tUnnUdrwFGB9toXH4cRiBwdvvgDLpL0VDugleCJW0sFdlq8rg/hrl9HJeKvyCKLoYkWUlhU+kP5QCjNMpvpEEOGBCgAOgkoA3QU8K8HJiCCA4gB3xJwph+hQTmzk4gYeiSvhXEkOWEQzuqmMABCvQ52afhXAyxwgThYYHml45NcQLeFS5WpAelSA+pS4wPWua5QtFEcapo1hN00AGTWQ0xtkMAFnpgsNGmTywETqAAEWrEMC0zgAhsQgBeAQQuBgMOmXlcoBjDAile04hr+7kC08cExjjTRCbGUtT772fFpJdpQALMyLAD20UIlyuOF/AhAQY4FLVoBVlp8wEf++e+QFcrKHvPItZ5oASOREeKPSjfDAnIkAQFQAt+g0yeOrCFwQugBc7YAiAsQKniIUYASOBPAKogBBuiajgrJQIYzoKEMwSxDxubFACSMiQes89Epv5OB1KlmC3pw3WhoUwDl9AQIWtKAA6tDH+nYBjU92BESpFgfA8rFDCs0YOkOOAEwRMoChlKhv3y5To7MQRFy3Cc/X6I0sZ1lkIg0C//EMitFAtBYEjLo1f7oIYZOiI8R9aMj1WLRs1xUoQwFW0UnxEqKBCICSpzMvED+yJEyNMBeHYQc7KSzBi9sgZLMCUMSGnC4kn7EXp1hJeEukAAUplByK8zYOWdzzDE0hnW9qeZ3esjKLfgBckVVQwHoJIRABWYJDjDSEquThgVgh5WNOxlO0WTSBEzgSoGQAOKmmK46IGIl/ZyrHAXhnopKdKPCcmRBlzasv07UQo5sKGH76lCtODSh+UvoYPmHUUMiFrKADKwfhSRSTsrSpBsp3RTwkoQCkBR2iqkTX30gxg2ArKgaw2ZTOLiEOCSgmCRdWFnJgARoAjGFcnmm6pSarmuihgfaUSYYjAAnM45GDWAdg1i54zmJFYqeSCIDBh4yBjhINagmNcQb6er+XfElbbBkKeRfOXq1vpZFoApNZEIhmd6FGsu9VTtsH01UyIC+N7/q9Wh+icIcMUhAqmmTrmbTgFImjCQJC5hPS82gGB0hdqwQkNdshViAWgoBfU8VAx4sEMEvWa+saUDAL+Vy1FZGjKlqIAPFfAjV3szGDFW94XCBcMQ8bRKzTaxYK4mQAHUiqaWqZeIKKaYFAGe3T5m1TB0UIdfvQtlo4e1jfOGLq8GSd5IPrZpgBwnRjGbZyxPdsn0pml/z3pehYv4yUv4rAQDQtsBpiqC9eAQAopKBAQbwwkSaohUuAAIGZQDqbBIggFoatJVhWAIGikRUIjcTAWyQgxwWABf+BCQACRUbqwGeG8oWs5ILSrBpoQ+dHaPsgAthwENsF0YGBBghdUMIgrkCkGM5gxABFNOSBD5mYDmz4Q5PjjKxV2VX+OpVzOz1MpjHfMnEGlaybAbslhHZ2En6NcuP1WteIxvAIYRhAgFwIFzIQExLm6HceWbAq325QF/+S4sNiIFnCwAdX1p6AQUYQBUqwhQhiMEPb8Aiu83tSwYaIAaCaVNzx8AEDbyhAVq0Z7rSje8HwOAP0zzAAgNABOY6qQgPeDe8y3CAL4ZhsKIewAI9ucAEDGAJDjMKYbqAgQAwMN35NncCDHAEWe9gC0QQQJE82UB4I53nSY+tuxVAAYj+aGECAlAgA/OcdKRPurvF3jqB6HhYwl70jwXt9rYlG233PjSvGXI2Zc9cZflJlrFu33JrsfACAsQwhst7m/YgcLe7cS/wfM8bATDgBC1sIQYTcMDbHKA9B0iAAlQYgnaGy4MjBgIJ29se47X3vBj0OSysnCkYlmCECVSgARxH47oXsAAB6PsBEoABEvxACEBQYAIDmAABYtDvoCvebRUAvAMuMAAThGEizXICAQgQgQjAjQBvIIAThPMULmhhCbr3/Oa1R4AiYEEIgxlCDJpPgM1Dn3tzE/7m37Y84UMPU1q4O/SlP3y8bc/v2pPAHfTJ9f93nXu0V2GZnUbJnbb+oZ2WTRTYEVbZYVliNaBBhZmVvQ+ZAdAQOEERyMwGcmAHMsEHLgEThOAIiqAIxoAVcEYVxMAGiuAGxoAW+EDlKcVgaEEXKEEHdmAMYEHo+dlHBQYYdIEIHgEMaMAFXMDfVYAEZEAGvEASMIEXjEQmdcEKxgARWEGfcYEVrCAO3mAX3FAMAgEWOAEIMoEGLkHNXMFVXQVhhIESFEEL4uAJZoEjpZoWeiAJOiEcbuANykwL3mDNCAcGmuEGOuEIkuDlNIJ/AOAiBoiBzA/8QEWxQKLT4I8kas0kvk8kYiJAxYpq8AAWWEEYPcQoakEmjSJEiMGRkcQqNgcWsAlW4BD+RITBFpyixQgXTwzXewwBFpiiK6ZILSqfcFWUajRLe4SBGHzBFEwBCMYMEyjBFHhBFaDGRAhBEGwBL4YBFlCIbmTSL3YjL2ZYUzAG4o1EczyEFuxgUxwFUKCPRZQipZSiKT4EGGQBEIhXDwQBFtDjMaZiPK4iOrIHNyJePJYiRATBYPCAPCLEMWaSK55iGBSCIjLiROKEAHrI/ajPfi0W3Wlk2OBRHWFk/djR/cyKfMkKl73d/4gdrQQGF0jERLTke7QHRbxkTaLGNLpkR/lAe7gkFwAGYAyGDAoHX/VASxplS97JRNgKHfKADhDGS26BltjIUUoEO9pYTM5OU/L+BBfMYU5yZWBQxFKgz0syh7sAhlLyV5NkWFL2JFtypVigD0V8ZVTWZF26JHvwgGDo5Uz25GDswFX6RUuiBlcOQXtkwRAIgkRS5GLO0T/xyiMuVlcUyx+RyCVt4mXSD2ZSIlSgj1YOVjtm2A78pTo2SViA5lWJlUTsylGIpuiUpjBKoGBlhWiS5lHMjng9xVLU5Q2NCZl0JVY4xVIEEFYMlw4oBRDQZnKWpvg1ZQCNnkTYSVYSBV+FRRaIZmcEiugAAXLe4mw2i+gEAWOM3lFkWDhW3lFwZ1NyJ4O0y1oyR2uKJnpGJGPSJ0044gMS4APiZ7JV1kLV10piGbJJW0P+1RcD6qRgBahsYpmCIqhjLRIlCUtzUsR0doVw+gRjaFgfOQVelcUO6EAuMkdYdJSD9IRSQuYMIghzMIb4DRZ2qmE2ieZtNkVm5mZnVtZHiR81eiQnioVx2qNRaEc97uQCYmJHZUVFqIYjpUavCEJ9OqlM0JFmto+USiaVWumV4s+U1kqT2KZ4WR6NKsVszo94oYVxUtkkltaMGoWIzqhuMg5DpadWZmKYjg1VKOhwVpTFeCJtfghCkahO0mkjQRRnXoVqEOONziBeORIXoMqTOqpLhBeWSuqkUmqlxgprtiNSAKeakmZniOVo5iKDYKpYftRPoAWfbiprkmZQQOb+hlqMicQlU1geggwnlxonbQqQcLFmaQEnn6pjfIrFl27qr4apjcKikdKpqnIqprZpm33UrbJSm5JnTzCqYj7qk7rKE92KUhRF03Drt24ruJ5PUnhruSqIuYqrtzYIuXarALVrurqrUbzrukrmsCyFglhis45obkKScbLqmD4ira4mtnFrkgZorxgqHXpbrfYKh16Fogarmu5KefUAgzDlglAnuf5EitYqZTJpo17rterEVwiUWCQpm0KIY4XkySqLyYqoy1aFy0JoesEsl93jPWIblW2FzO7sdNZszUoNniqsoQoqblpS0XYpJQ2jfXliBSIWXp0sSCKrIVEUhxr+rYgKEsRWra7gaSVJoMN+acNCrdVG7dW+LK+ObZImbGktS0UxasjCLUvcVdU+LUY9rU7ibd3erZnl7bZZ7d+WF6AGKMQubN8CrgMaLsRGrd8mFsACEkJNrZFK4HrlraKq7V5FbrBUiKJSFMtyLeciG+jOKdXSLeFObdhYFOfeLaCOzdvGLdzeZ+DSLd9u7eGqbuKuruDKruqWLu+urt3qbeVqLeDm7qua7vEO7vAqLev+7n6yqX76ru5SLt6+rN3SrtNK79kiK5li79MiqOTy7e2+jycu7fAabWK+Ltx6ndXSrvC2r34ibvDSF+Fa7942Lv3ab/jWb7YBL/Kyr/L+LmBkGaz5KpLpMiDbuY8BBi7vDuhGQa8D9i/+7i3wWm//TunB5m7v/pm1pq+jTlnz2i5k3W7u2i70Dm62mbAGC64FE/AIu3DyarAK+y/ylm79kvAMmzAO6/ANE7B/yvAOH2/tLjAQ57AQawX6djDs3lV52bDvhu/9wq/u0rDeNnAE/y99oTD/DvHX+tXsDrEMi7Dwim/jtm/83vAPy28QgzAaT3Ho7rDforDyMhQXJHH62pUEG64VP3H0prGBEq//gh0gy/ELU28fz3BEfa0ae7EKs7GzQfH8xrAYy+7+SvEheywCj23y5vDkUvEG1/HrThmyQG4DVuB6lTIZG2j+hJ7oKV+N1pSZ+yQwBXNyAKtyK3MNFffu7CqwFsuyG7NuHEfx+1Lt/7Zy86byHlsyHuPn1XABEn+y+i4xEUvzNFNzNVuzDrPxNQsyIWtzCwOxERuwN3dzOGtzFv/t0jjzM4fs+n4dGRPz7qayO0OwIPuxHFfxCf+xJPPxIBduEdPzGW+xJp/z7uZzP9vtAG/v1gbyNuMwI1eyonJB+agzKFtkPO8yBMpzRh/zBW80K2t02FXv7zaSRsmzKUNghFYxh8yv2U6bLY+pKZfdIiPU9QroSmeUSu8yj+ouyE503EbpR1u0twX1UPMwUa8wUN9vTYswUROoO7fzQpNyDVP+G+N2sVBbtUlXdScn9QnDsVMTaFZXVJP2dPpmq6Wa9VmjNZim9Vq7MlvXKf2sslrDT1xfpn1BrCDw9FirryDgM1MjtV8fsCgPNWCXNGEztWH/dVtr9GBH9WEz9l9nNEi/h1jrNVkrDWQjdmbDM2ZztmZrdmdDdjh7NlIfdTyT9mgHy+qmc2X7tFu79mvDdmzL9mzTdpHeMmJFNGvXMV/Xdm/79m8Dd3ALd/uoHAfr9l4Pd3Ir93Izd3Oj6cvO53EnsSOiNmhX93Vbd3ZjN2B79HZr93dnNuq+h3R/sk5oq3Ojd3qr93q7tSK5Lnkn8ciy93zTd33b93M3M3w/s3z+33d/+/d/q7cPrLZ+g3IhzCGAI3iCKzhtC3heE3gHO+aCS/iEUziWvveD13GkVviGc3iHd8iAY3j6voqHk3iJU/h7GHeIi/h5m3iLu3h9v4eDq3gHR+mL2/iNO3czp/iMUzRd4/iPA/laC/iO8/jrGriPB3mSK/mVRjSRF3nc8vaSS/mUT6oPOPmTv26UU/mUA/WW+5FEY3lPF4KWezmQI7l3ozl4YzSIh/luR/M4w3mcy/mc03k3WzH+pnmeq/miynibZzhfn3mZS/glc7Sa6zma57ef67V8G3qjH7qjQ/p1iw0qe/mQK3pla7igmzihF/qje3pos/mlf/KIa3r+qU/5hYt6T9e4qbO6mfd5qj/zmLf6rN+4pcM6a1M3res6ief2rev2IgT6rgv7fKO6r4+1qwT7sCt7c+u4sUt3hC97tNO3rTu7bue6tGP7evd6tR/3sWX7tzu3lV85t/85i4P7uQN3opO7dK86urs7g4f6uqs6tL97vbN1g8u7fgO7vfO7W1drvsO3Thx4vxN8pfpAdAM8ebd7wTM8lSJ8wpO3rDf8xGMmikP8g187xWt8V8T4xT84skd6yH/6yIu8di94s3s8gf80ybN8ybf8p9d5zCPvtqc8gVe0y+P8y+f8ztuyf1N7zRP4fer80PN80WO3zCN9cQO9imf8xmv+vJUvvYoLfLI7PbajfNRjOH9XfcNbPNZLPb1vfb13vdd/fdgX/L+TvdR7u9mL/cOnfdYLINuj+8+/fYhrvdxn+9jX/YxnOt5Hu97vPd+bu98Pu7oHfpGTOuEL+8GP++Gze9wrPq3TveMLPtVH/o/TPOUXuflcfqtnvubzeFl3fqkbPug/ueiPfqXHu+lnPZmn/pLjO+v7eSgbfe0T/e2bPGwXu+yf/s3j/u/bfvCbdtK7bePzPsb7vvArP/AzfyyjtSOB+fErutAvf/U3f/MTf1ZQtvQrute9Po5PPveH+d1/f4t/vvi3ed+XP68bP/qHeNOv/4bvvvv7+drH/4b+Mz7937p53z/+r77+A8QjgQMJFjR4EGFChQsZNhS4SBAPiRMpVrR4EWNGjRs5dvT4EWRIkSNJluTog8sihytZtnT5EmZMmTNp1nwJ0WROnTt59vT5E+hFH4JU2jR6FGlSpUuZulzExUdQqVOpVrV6lQeXQkWbdvX6FWzYroKgYjV7Fm3aq1q5inX7Fm5cuYKyRFV7F29evRmHtpX7F3BgwTAh2t17GHFiqij9Dnb8GPLgRYUMK7Z8GfNHxpE5d/bstnBm0aNJb/58GnVqm08rk3b9Gi9b1bNp12ZItjVs3bun+thqG3hw4GR5Fzfuc6hw5ctRQ6x7HHp0kH2ZV7f+/rhwVO08tnfn/t17ePDjxZcnf958evTr1bdn/959fPjzxVM0fR1/frg4pff33102/QQc0KtFfDgQwQQVXJDBBh18EMIIJZyQwgotvBDDDBckjygCPfwwqULK8o/E3bqjDsQUVZRJxAPpe1G+GGGcUcYaabzRRhst6nDFHn1cCbcShRTtRC5+PBLJhCDiYsgmidQqySilfIQ1J61MDKVCptwSySqv/DI2Hrkcc0UvwTwTK98aI5NNAkVEE86qUGyTTg8nYzLOPJFLqc4+7RQkNz0FDSlLPw0dcLJBFR2JC0EOfVRAqAJdlFKKoIQU0+tCq5TTinzLFFTrComo007+D9Qy1FSVu3PSUuOcU9VYa7vT1UXvkxVX2gqpddChUM0VWNU25RXOAIM99jT+iD2z0TWRffaxUXPEkdppra0W22vTExPabiNrcVkrYfWWXMdw0jbbdNFdV912D+S23HgFMzPc/saVF9+/gqxXur6czRfgsJbkNzrG/g0Y4QIBJfg4Hw5OGOKmhmX4tUIjvhg0Uil+rVmMPRZ4xI2JhPfjkpcCV2TMfDWZ5a7eTPkyPlueeSl6Yc4LJZp1PhnPm3GWeeegjXrZZ7UsFhrpmrgIueg0L00aapkmbtqqT6O+OqaBqZbT4Yex/hqhqbf+qWOwzWZJ2bGRu/fstsNmjd3+uN2dW+7tuCPZ7bwPQlntnN79Ve/AEWqxbroNL1zHWwVfvCDCD38cccjZU5zxygXiu+/pnracc4EAjRx0yUNHydHOTfe81cyF+u1007VWfaOuW29dbNgnOtXr2fWu3Xa2dbc8bdsl8v134J8T/m7Ai6ed6cyJX55zm9VOKXfoF8d866Ot/51WtUnf3vrJUhf5efBNJ7poY81f/vWby14//M9hfrd6+KNfOOXy7addY4op3996+COY/gA4O965ioAFnJ206rUyBe5vVKKTYN3+90DwYY9T2rOg/eA2QQ/mqIIbNJ/0eiUI5YkQgs0TVJbqh8LiYTBPm3OhAtGnp+SXzFCEBhqUDHH4QBhe6X093OC+zpRAIYKvfVdS0xFneEAS5YyJPayhkIwYxfUlkURBtKILnWgcB26xh100EVFaCEb4BQ86ITRjDinTL6Ct8YhiHFkZ4QhAOV7GV3SsIwQFCBuD7RGMEdSNGgGJQzRmhpCFNKSkNNTICplQkXW8o9EgGck6ioiRjtTkgnhoSTCSEGcOK2RAAAA7</t>
  </si>
  <si>
    <t>R0lGODlh9AH0AfcAAAskPxkjNRgtOj5LOFZXKho3Sik8RiY7XQkgahUhaBctbRI3bgssdDU/cD1LVypIZzpKcUZVRElgR11nR2l0QEZXYEVXd1toYm1taGJ1anF6Y3F7eqQsBLcsBKA4BLY3BMsoCMkyCKBABKFMBLZBBLppBLl6BMlOCMtcCN9AHtBqDPdfOeZqI/htO/h5NHeBQ3WEa7SmPNCSDdqGFOWTF9SqBOajF/aWLPilLfq0LenREOvbE/zeFezkEPviFfvCL/vPLuPQMOrcMOvkMpufRamkRIWHapaWa4mUdJmidbm3bKendKiyevyJR8W3Q/ymTfy1Q9SKZOSSfL3BbM/CRtHNQ+DGSvzDQ+HQT/bcTujcUOrlUvjmVs7Ea8LMctHTcd7Qc+HbcNPgbeblbw0tkB0ukQ83lR46mi4+iQourAs3rjBJjiJJlyxCsDFNvEdMhERhmFhmlVxzmG52kVl9z0Rq1GSK3HiT2ZaWgJKloJizr+SqhOSumPG/tL3ChbvMjcvOi9LZi/zvj+zMuNT2tPvyqJKj3ICn6J2y5Zq/4crQ2/z50c3Z4tzg4Ont8/z+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H5BAQKAAAALAAAAAD0AfQBAAj+AB8JHEiwoMGDCA8uEuSDh8OHECNKnEixosWLGDNq3Mixo0eJPrgsSkiypMmCCz+qXMmypcuXLkMuGnmyps2bOBEuKsQlS0OYQIMKHUp0IhdBNHMqJbiTy8+iUKNKnUrxaNKlWLPeXOiUqtevYINavar1JNenYdOqXVvRhyCkZePKZdqVrd27dt0WmmtyoQ+0eAMLjmqVr2GlTQEPXswYKJdCZA8/WlS3seXLK/VGlsyZIE/FmEOLvqi3s9/RqFO3FbS3s2uBZ1XLnu2wsGGeXGjrTm37teGZXHLvHh46JNy5n0ETX453rO+5iZlLb/x4c86dgqZrH6z5eVm/aBv+it9OfupPt9ZvfuahvLx7qY+9Zy301+H4iOPzs9+vvz////4FCOCAAhZI4IEGJojgggo2eKB97MmUlSCVOWghgxheqGGGHG7oYYcgiiehfFsFp5h+76UIk2JZHIUYQxCqKKNX3ZFoEm7n7QdSiDx+6GOPQP4oJIcA/hVSazaB99CQTAbpZJNQPillbZDZSBJuM2aZ1pHpFVQIjFqGSZVxXcq3nphoTuXijWCm6SZRvVk5WZtv1ikUelcKZ+eejiFpI2V68iloSy0mxNOgiLLEpY1ftpfooxaRidKZkFaa0aLeUeaopZxC5EOVA1Ha6aggxfdcSqSmWtVxoqrqqg/+M712qKu0eirII63WmmoWx0lG4aa6WtpiZcG6GudcvxZbq5HAKvuopHzl6uy01Fa6plyaVqvttpB+Kpe03IYrrpjH5oTluOimG+a1iAWn7rvwvmfcUqfFa++9zB2pVCH49uuvbiPWtFOz/xZs8F0i2TTrwQw3LBieNzoV5YcOS9VkxdKJVy5KDBE8ppQTgyxyyCT/F1TJKI+scsosA7mkqQm12bKBGBd1cc3L3VcaQvR5/PHMKwcNdMtADS300UYnrbKn9nGhU6A4Ry21xb3CRufUWGfdZ0EUau311y1BPBmxYJdt9kW8wkb22Wy3bZ9bjwjik9t00y1TfXXnzbb+W3r3zXYWfgcOts+CF2744YgnrvjijDfu+OOQRy755JRXbvliSv/YttKXY9QgigAjLXrmo2OoFumol576kBvlx+zrsMcu++y01y676rivnrvtvPden+7A5y68j76bPFvwyA/vMo3KJ+988wt6jh/0G+oNdOetR2+8bM93T/2DX3kv/vecR6oj9uinr/767Lfv/vvwxy///PTXb//9+Oev//789+///wAMoAAHSMACGvCACEygAhfIwAY6kHyli5r3LPe58THJdxjMoAY3yMEOehCCBfKgCEdIwhKa8IS8A6EK7+MwC07OQi68IApnSMMafjCGNsyhDnfIw9nx6IH+QAyiEIdIxCIa8YhITKISl8jEJjrxiVCMohSnSMUqWvGKWMyiFrfIxS568Ytg5EgMlTeuMV6obtWrlBlXqD33rPGNR1NJD+doQjbCMUB0nKMd99i9DqqRj4A843buGEjhfSSPiORgIQnpukTScJGQXF0GzzcoRkaSksSxpCZFlj3ChfGToAylKEdJylKa8pSoTKUqV8nKVrrylbCMpSxnScta2vKWuMxlujZpNGrxkkhZSyOtflk+MRHzkg46pCOXOUJk8pGZjnTmMSuIwWVJc4/GvOY0Tde6bYZMW94ckNmSOUxtsjGb4fylGDGpy3a6853wjKc850nPetrznvj+zKc+98nPfvrznwANqEAHStCCGvSgCI1KOqFnqYVSzGDC5JZDQ8RCCOUoe4fcHlGaJSICJe13IDNSjzwEUhGJ1JNLmuj1oCKgHSlonSRt5OsiNFOT8ud3zKIp7IpkQ536MKf9QVFFOyRUmIJvSUjVEMqqedJwlQxBRU1QMoWkswhpFDCgYxpFTIq3jYpzeiXlaVhB6lGPdjRIY9VRU5XK1qA2VSNPGeoB5YrSiWDVYuy8q38w46isZiZ8Lj1q3vwaWJp10nxDlStL7crOv05PrcZTrFYv1VjKnm+vVd1rUtvItBxJ1rAxIk1ggRhX0Va2LXy9TGkZi9HiMJCjeWX+rfS2itTUatQyhLVsZ29rs1b6TLN4za1o6jpcxhKXf5KlLME8ltzjvqSvsT3RaVHr3Egldrq7pW1ymXjWteCNq8DFalo121KPZPaycEUsdhUVI+hSt7ZFC63kqqvc9YL1ppBVDmwrWlXH8vawHQ3rbk90XaF21aIIbmxOIWvU8Ki3tPoFcN+C+jOR1nfA2G1P7CI7XTziFLxf3eqHzapX7b7tph+2ME116tPaUTLCoAGvij114M3S9saTtVuITczei17qwMDdkXWBajKyXtiz5nsIEOw6XganFJM7xWOLfdriFAo3tFLl79ukC5ElG9VvQb7vc6162M0Ca1NEtu/+fUGnM5952aJGxm94alzTNU95yx72QQ+MtOeuUrio2sWpcel85seimL4QLetdE5xRIccXwh1ecIG7qWLCxpnJb7VxZ+Mq6KzKlNNjTWF2EVxjrXLVzE6+snzNPGPDsbC6JeZxo/E7ES+nWZmZRu32Lv1k6+JnwVtWs4I9B+xfl7TVXwaJkW1qagzzenDcVCuyO7LdlJa6m5gEHI5FfG3ZHrfY/6VxkfIb7rCkeNrGPfF2HVzqvu50cdVOb1v0zKw+d3XJb3aIDniQ74rsmT07SPByfdqD+Lr0LwXnwb9/7O8Xd5nf+oZ4rTHiZXw/vN/2Vrie1dxkDev033zugcj+u23VeA924yQHisgTbm+S79sh/d7qv/c8co3LFs4K30HNzTNzhTsk4DEfbUR24IOAT3zJL5d4RZL+ZovDXOlIf0if++zzHkcE4z5vOb1XDm5roztwDSn414OScIdQfSJGj0jSLVJwkIs9xgRu+cM5EnS2L1zJGEn703kQ8L8IAe0WqXtGBB8RsftcMW1nLtvVeneFj3zs5Q5c4qXS94foHe0p9xzNDY3Utid142W3SNoLfnmOiPzn/P5Jn4F+kTcH/O+FL7red2D02lOE9paHCOv5zvvc1zb0Zke47zlyeeD3nuj0VnHpWay4sxPF86jX+fCjr+eRJxz3GqH5eIz+DnyxEz3HGSG6zq3f+8HzvvEQmTzvl/9m0ktk5afvfehtz3sd/L36PV+w590fcOPznfv4R3+LR3pFR2/ih3pdphzG13cm5zZGB3r+pxLLN3SMlXgs93gLB4AUyE7IN3TOJxFLhnCbt3V4I3flp3ugQXTXl3sbB4ITd3vwx3VmB38+AHvGRnPWt3U9MH4zhYDTxx5tt3nfJ3qWJ4PIV3pLFnDLh34413w75oOmV3XR52/0ZnOeYn1YSIJTuIRD5wNDsHmoh3Fhl3VVaFXd53ga14Iw9xQLuIM7iFR/l28TuCQxyIYIp2c6h4fWNwRFR340NXPJl3DatncPcX//53j+fReBG6h9LEdxQPCIfFd9B5c4gEF116eIogcYc4gf0Ld+tNd/0pd1K2cfAviDLNiCZfeISKdzn3h8DaGElveJsriDsjiEPohVebhxuLd2UvcTFgeANCh9IoWDY4h7bceHr/iJ9dGIrwgEgJFv+KaCf/GJPWeFgFd1DwgR+zaEFtd+UqhsZZN2pchYtlh4wlaERScRsJh0yDd/YXgf/nde78d3+/Zy6fiNO2J8b/d0LyeNj8eJ6vgT28h3XHd2end6DcGLkZh8M1Z7wrcfsKgju4eA5Xg+QWd7QoB759F/Y/gQvDiH9khme6eCxido+Kg1m2h2kSh/UNgRLAcYIcn+e9N4hwWnkD7gE8nHYK+4g/pVH0LgdEdYdeLFNHJnkzIWITRndEG3b164kNXXVTTYEK4HerdGEY2Xbz4QdDFXeamoew4hBFkABLA3jb9XfvWoEUw5inOnkpOoe5f4c29JkHA5l3JZl6F4l3GJl3Spl3aZl365l3G5f1k3mKS3grZ3mFO4fi15exs4EYXplomphD+BfJM5jTswBMGRmUMgBDLIA2e5b14Gi6wnh2goceLXZ5npLkHXh2eZdv0WkT8AiWeJd7Qpfdindg4xLFzAh0OgA8wCjKe3jVz5dECwAzpAi54ph/+mlDoQdZ7Jb7gHia5njK75kZiZmlnAgBf+MZvPGXGOOYq3WX7C+HlSpyNld57lyZZSiJ7qyZ7rmZ7v2Z7w6Z70OZ/waVmGl5+Ht5+eN4abYotKWHEBWZ6hp59sqJKW2ANbsKBisAVhoAUL+oWuqXRg6YUtOIi/aCQAOnJboAVaEAYgqgU9YXmvmHxCABpLdn9okXRPIaBy+JT3GHEt8qFi8AVbIAh8+Hiqp2dfOARf6IUy+JNiWYM+Wh86wKJgGJYQl3RCMAQnKBE/Kh56d5w8sAVc4KFhAAYtAnmT5XR25aM0+Ibnx22IJiMHKpiC+XxVV6AIupYkOpjm6JjvF3a0twVj4AVMQARIkARJMAVjYKXRKZpbupv+mHmdPREcw4KZ2ld7l+mgU1AESbCnTNAFPWGcQMh3PmqlC5qZLZKoXGClu7mbQGCoh1qqJhIcm+qjRRYSWjAFS3AER7AEU+AFVcAFhYlyPVCon6qoOAhzXCAEn7qpgBEcmeouS/pzIaGrTvqcmboFQ+CsYuqRjboFU6AESQCrS9AFf5qRq6WNRHedY4Cqy5p7lxmsqaqAxhafHemf/LkfBtqu7Pqu8uqu9Bqv9QqvJ6mSLISJ5phwHWl4/2oyjXh7jvKISqqenEev8/h2O2inU/ACEvAAEVABEgADTBAGlapkOwCsQfChISoGWiAGYACiYIAFYfAFJqsFYIo3lzn+Bl+QBC9QARLrABOQBF8wotonBB0qBjwbCDV6siOLsoFwsmIAoljwrEJQBVvwBS47siUbBlhQtEX7BV8gBko7lrSHmWJQBDAwARAgsxXrp85Ke3fooTzLs38KpqHHBUEwBmcrBkLwd76JBVFbBVKrBVgQKBtrsl+gBSgbBLt5mXibpQ1aBT7af/oWEmGgBF3rAA5QAQRgBEoQBltwotf2elpQBVT7BYFAtVjwk71Xg37bs2IwBsDqjumGsHaSkrPVEhH4uhtYAzVAiHXJnpV4jezhoElwAQ+gAAuwAAywAAdQAUsABr9ahM9aBLB6BEZwBEjwvNAbvUgAq0WwBav+V65+YAQXcADAawa/6wAUoARjkKM1yAVUQASwKr3qK71EMAVioAR6ur5IgAfSiwfMqwXBR3RbIAZJgAENoAAJQAa/awASkATGW5zV96wxAKv0C7MxoAUnenpCgAVEEL/MSwRBsJlbEANEQL/zy7wP7KREN8FE0LzTSwRF4KNDIAboiwf0ewREUAXcioZLSwS8C8BlkMMGcAFHQLmWq4k+sAVVoKdHQL/0awREAMH2IXJDMMQubAQnHLdySp4O5q9CecXrisVXbMVZzMVbjGBW7MVhHCOCWWqhOB7vSpRsOYZibGf02olz+YgyYAI/MI/pF6dl111K6KBKEAEKoAD+ZEAGahDIZaAABKAEWQA4JDkEYUABA+AAbxDJEDDJk2wBEGDJlgwBA/ACYbCyYBkIePC/DEAGaVDKAmwAGhAItrqDV1oEBPDID7AGlEzJmTzJD2ABAyABREAIRJDLt7wGFnDLl8wGwCzLb+AAA0AAVAA4r/isSyABBRDApZwGavC7FTC52Rl2wHoEAyDJb7DJYcCZr8gFTvDKlDwAE0AFu1kFjvwGEBDJDQDOX8jEU/DI7qzJL6CyQkwAkHzM6EwFlduHPCAEY8AEEsC9pJwGOZwACSABTCAGyGiemLoFSvDKFrAG94zOYKAFzthnFE0ADRDJ30wBVgAshnfHYjL+sHcckfZ10nJklWQInyrIbzgwAihgA653n6tmx6hH0H+QAQBMzdNcymWQABjQBcxMcys8AAHA0AxNBqMc1Qww1VENAAQA0T+RBWHABG+AAAmtBmog1AzwADDwp3vWIkcgAAAw1YAM1YFM1aMM1QwAAAWQBIRAAXTt1XEd1YEs1wyAAAAgAIiMf1wwBUDNAKUc1mCtBgygABvgB79agDwwBi/Q1Aw91xNwtGM5BEpgAGtNBgkAAAPgBM76BQMAAAng1aCdAATQt0xMrQEgAAGcAAEgARC9BV5gALJNBgA8AErABePXAwTdBRhQAIg91KU81RPgBQFdmUW3zQEA11P+nQACQKn3x8RLINtlgAAMPQBWwAXOyNNPdob2+sYQMsZjbN4Ky8bn3d7pzd7r3XmVeIZwGrAojcbtBaf6qt98JoX2uGdAMAMkMAI0MIjpacVr2t7sNASEAAMLQAZnkNhgTdRkUABI0MlIub8DoAA5jNxpYAYengZkIAEYy3fAOggYkABmsNhhndhQXQBT4Ky9yQVJYAAL0OJCHeKJvQB1TQgvUABmIMjUzOI4LuJmoAAGMNgNwQVjgAQF8NVDPuSFjAeFUAU/wchGkABlMM0JMAFhkJ0PwdkGcNyDPAAxvr8EQOYKjQAP4AViIHI7QK0CQAZbfgYjPr64bQBkAOL+aZAABuAH1otwBJ0EACDkHl7NC4AE47uSLTgEWYAHhW7oIl4AgO6M1ccFnZ0A06wADQAG44qJXDYjKu1oOr14FxGPosWmyZmLOYACA24DTzrFpl57WuAFEsAAWy7hyM0AFQDZVagFgeAACT3ULa7YOV4GFxAI+FuuoYwAio3jE87YMIDVOnsEBRDl02zsOU7NZlAAeUAIGbAAxM7i227Kgq1tce4FF6DpRZ7japAAFQAIYzvQYwADHM7lFxDOlpcFnQ3hpvznHRoIAyDIxU4GB8AEAa2zTPDk04zsDUqtDzDsZXAASrAFlDkGgHABCIDt474AbW7x29cQQzAGG6D+6R6eAExgupe6BUxw7/+upSHoe8C3jAfOlvqp4DcfsF283+md8wm+8/sZpw7ppgoOj2o86lo1sAju0naVBTVNAiSQA4p8goi7WwjeZTsABE1+AEWu7dRs8Bd+ogGnBWMQ8Yce7RM+zRXw5bTHBWCQ4hyf7WFtBg4A6BurBXhQBu2O3F1fzXnQCDBw3EJN5B5eyIiMqWNgBAeQ7eM+zQeg6Hw40GJg79lOBvkO5g5B0Ys/1A3gB1gq7OVeBksAt545Bn6gAENt+Q/vB5vv+H6gbTU4BtZO8GevBmYAAEewBUFwj3g42XNg8kWeAEkwBmGJhyzf4dPsAGBwoCepZRv+wa+icfVxSuri7V5w3BJKSQNQjwJ1bGvNf+rYaOJfIAEbP+7QngYIUAF9a3RZUPZ8zvjRXu7JrsgU3QDs3vXIrQBGMAbCjfd6f+gAkUZgGjUD1ahZkIeQHAUGBR6EOHCgAj9ZeOzg8kUCmYcSC0pEIEGMGB88hoyBwaAjmQtheAjh8VKLkgMEBx7ws0VLoApkDkosY2QMTCBb/CzgaLPlEKM1P6Y5oMRiTCFhLiToKDErggheuPjYEXNHySFWy2QVSAZGGJglfWxRUubswAZhppaMmbdH3pg+3Orty+Nvyb18YxYmHLgwYh57EzdWLBjy5MSPGTueXHiyYbGdNRv+3nvZMN7Nfw9zXhz4ceCLncO2vqKCBAkVPwBzBhw6suS8YWcaSPowokQyB5ZsgbkjSyAHWgkWhPizIEswME8aSXD2p/OPZEQOEZIFz1zn5aEfyNNoTvCOEZ8KVCD15RYmNctrVcPgwXEdL1EuEI66qWKayambctIiDAc4ekoNMigYYwjf/FAJOjLiCIMpPw7YDqqKgAgrDCUCKMOn9xwqyDguYBIMrB7KamCu98jQQAwhgPBhL/rk6qgBMKbq4TO+8CJtM9yGlEzII5dkskknlyzysddeK7IzJDWrUrPUcmSNtydxK2yssKA4YTYagMDxIs2ofNK0l7LQwogD2Nv+7kQFKCBkh7CyGOMBOm36CDqCqBvCpC8iQAA6QZ+zSaADmECOi/HuM+g9NcrAw5H10AK0vPi4eHGMDbAyT7iCGHhBkCpeCgOGBRRFoCWLwhJCiynss+kBBHliMNAyJAhkCBy5oNAnpcLYoqlGoVJiRZNQCuAMSj1KYIMxdPArLyFg1K5DMjKw8aKSsqiv07rAC+y1z4g0MjHdlLzytNSSPE2yv+YdLDPV6KXMyy5v47e1fQcjTbfRWHOrSNEY642vsXpwSwcgbiDhgxFy+KGyHZRcV996L+LCqgROvC+/CAJhUQsxFiy1vemAtWgMmoztsMGBEEBijC3GGI88Tpf+JQhT9dib9qZmd9jiCwhILdmgBE4OAsctYFAgUJbCACKvt5QAsCNddVIwKasNCIOLmMgFMCILMtTCCwMFMqCii6q6AAEZuQO0jDeq8+s18LwwwOeBvBNj1pLGYKIMMzpCI5CEhYySt4T91ZpL3bJ1U3LN+cVyt84519pzyCpTuIex6s2WL4bbnBwvgzN3d/QrIebhBxY4IAGFH9IU7HTV+8qWYcxbE4ILQBogmuSnFoAUpuVYLvo5B4EF4qQkEKi00ehuFilkPBrAL/xA02gAj6HxFq5TAZTYgimaSrZZoAak2rbVhh6izgcWw1PigU7j1skgWHaiuDmLWF1LC4b+kuUHNGjlAFPgQli28IfANc1OzTKNEOCiAPJYrSuFEpcWEmcGQdXFIi4CjJv8ghkWtmh49oKhY/zSOtkNj0g0lBwOb9gizeXLNBtzzF42pq/X8WZeHusXZvIlQ3/9UE1B2gsQcoCCD5BgBldoEbz2BcMX8qVWS8hOy5aFECSIgQdAyELYHAI0hwhICGLIAAMC5Z5ODeQBfxgDFvDQkPGdyGYKSM8G/uQR7TELOWM4AtM8siiJKAAPY4gZ1QxyNRa9hAtc04qutLCTAb6nAEkwGxC4wAQ+HoQMcBjKFqYAPokYgH4aTAIHKUWyBBhBEP3JC1OWcD9OPeALWgjLXkb+ycqBNK5QK/zdFmHIxcj4kHKVYSZjUrclHlrGXvc6jTNbuJggZUmJ+zrikVoYOmeSzkh6geIZcfCBEJAAClmjXArpZZogehElIwvfGi10gcLtoCwLIhl3pnOBQGRBCLyKX/YkkoA87GyXJFRUhxj1HPQ0IgNiA5p0IlKA5gUCA4lK3/YkWgYMCAI8W9gALx0kK21pYUMOrEgWBGgijyjACMjhQRb8wMs0XE1DuHKU3IRwz0UWFSQYEsJr5nMEnr7HAF7Qglh8IELt0CVc4pInOQlWw84tMYvLhKY0ZdfDj7HLdaGLIVg5kyMuWQlimMPmkjq2w7QyE5vrgqIP0DT+g3ai4ArwpB1odhPXzG0hEBLAZ0bFlwYIoCynzKFZQAl5ATBogQt/mNOiLHUiMhhBDGNIQgEANZxKRSchhMjA4kyFIkWlgSI6YQ5ItzdG4lRAZyeBQXBW6pIpXRKBQdVCGgfoEQZoYAxook8pe4pKDbHyI640qBbGIAGVpM+oEmmAF0BIlTEgoamtZAIwuUQfoKYBDRkSzBHL6THTDG+cpAnrwPjVOmhWE5v0ne81XeiutsLTd6IBXpH0xEPEFKys+X1MlRoDMSD8AAUn6MAMfnDCth7MrP2qEtIAARxG6lMrn8pCWSBAU8lqBVhcAG3a2Ji97sThs0hIWx+LCpH+02aga60lZEQoMgaXZpaOKMoKBLzQPjGkZJItqWSt+pfJimhhpmwkQwTKJko/iPY5V9OCshrZBYMuBzilFWijVHRG7mbguwPhqBZwtJcsxEW1BTkXwCBXTbJipjR2ba9883xf1ZxVrfOM5seMOMMzZs1F7BLrOXHj5z4juF9eAqJfgICDMn0ABzha4TRTmC9m9kVH7/vZtMqwBKxxAbIaLZoZCMonI9B0lnWsgBfEkAcOzTh+B6mxakNdRwH4IQxaeGhEzfOeqBBZkEeuDm/ggqsU+SG4YXgDRiXiAEBkQQdoc4gFxLDAt3nIoMQSLY5zLKhLLQGYaNIfHKVtkAX+IMFZJZlJA5/SgC8MyHdo3W8NyUpnr+KXz9+UpjXnW19ochqZeukvPIFHVjcFszVs+hyiwXkw1IQFCDRgJwpy4N9z3ruFSyTNUJFgH4mm5T5lOIIWwgOG5tRxjcQBVhgCIQeazVKiEPDDrF+1WEbiWiFy+G2JP6IAJoSBZ2jQraVCCp8ktE9U1R2oXajCgwJp7wB/2GQgIiA4O04hC0AYQ5UZdaEMGaWBEsGJyrWQhBuX3LoQUQASopq1F4lhI+1pVLuxxiVyKe4pD0AvVgFGpK9I3L1GDFjoPk5xR3c10FuVuH7X2tbdbTxKnK6nk7po5y2mTtBq0t8PVPCBD6j+AI0CCyyW4DtxztQKBkx7CgLaECPdDqQMGsBaVYZb4oEsoCVhAMOIJwo/iSzAD4HIQ2ILWTL0MMJVYC4ZGeI2BlERDSRhLi6Pq281DPxIW6pUMUHSzoWZ+hEqSziuTvmYFgtEyKX+a6QfwBMGI1Sow/iJjgI2YJes7eCgPRG3g2CA/QsMcpE3m2iAgkKNtRKMQjAbzRurLxEsCYwnCVQwuaoXNMkBE8gBMFnAklCqhvFA/VKYBTSMsdCrKaqiG8gaeFqNE8S3CDQdVrkAqOuIBJADI5CDs3OIMqCsLEijEYuopyAaMgAAkQg7YnoPuwkj6ZmIJCCEPeI66eEs9CD+hNy6D+zBCjLgQgZIgADwtUCIA54CijLACs1SAwSYAO1LqZWIAyzQH7yoOq9xNlPbunwygyOAJGx7ipbgNq2YnxUJAwywv04hAx4prZWqjhsxiT+oACfUim/Zu5IIg8QxFvlhC4AZPC5YhK9QNMgAMHiBlwtEkgSTp3GSHYNJoiOpkgaTgRKQARApRS1Jr4ZxwdugnXACRXEKrMPQKxwggRBAgUvjgf7wPBGMl9UJkzQCQCckgwpYAkXwAzm4m4GogB/RvYxCiAVYAAVQAC5UgAUQAAr4grDDHpcrgzmYgzeoqqcoAyRohCQQgASgR9gbPnosAwQQgCNArTcbnDP+4KDsUIADGMgDMAAnkLkKKAPOKoM4WMeFXKRnDINy3IAOIoPus4hCQRpQe4irezboyR4zgIFBAMKj2I5Tcj8/AJ+nwAk44Qk5co4EcMg46CCIIIO92YJc+oMH8EfnwJATUg4mWEmbWAPvE7xF8wFBeARPnEBxuo3ISY2PyxwThBIKzA3IUCqLw4ESEAETUDhN9DTeCIux/JJj/BckcRi9moEOCAHT640Ks5JFQ0svEYLgq7kUQYJAKIRAYAKkS58yoDYgfLJGWQM5iIMMuAAMiIMLYEwMmIAXkC4werOPKIMN8ANFMAK/9BYYAK0BaIDPjJF2LCY0+MwBGIAlGAT+LGwUNzhMCsAAx8SAxJwADKAAK5C5GDmRBLAAJlAEPIi2+DEAMDC6lFKU/EmqN7mVTmlJTuK6gjADDLALEQq3j+CnTVJJmNqCLACDBpAj6egpC8iDP8iDaHPCgnCAQAiumKAP+HM7MlgbrBIRxcGuwGurISoSLiiER3BAs9wcwYOvyKGceorK3VC8z2OvVDRQztgrERiBEjg9xlOM1fMSLfovdalAvsClM7oCFOiAE5gB0AjB31mdZOINl0IeciMDnKO+MRBDsXkuQAiCIFwWM7gDPfiDP/ADP1CCHPWDKZgCKtiCMMADUokIBLAAPyAEQVCEDagQ4sCARpiCFzD+gik1gjt4A+dYgzmYUhiQUicIhGNrFDiw0SlQgi7gAx31gyXoAifAAhYdSrTTg0FgUSNzjrgJgzAgziujLB8YkJlAoIM4AEAILq1LnkH5QZd6ladov5+CqU3asOGzmyQIBEIIhDs4Q6BoAD94QB4gr/EhJAvwPv0hFwOBs3qTqrkUDC54hEdYBEHAiyFiks/QRcwIQS6xnKqsSi1qkhdsjRRUAQ8YgSsaEAMlDAm1QAYUOBiUohP4gBPAAbEIUYe5UNxQKiyYmeHwjkDYgiAQAkEwAhn5iEwdVJB0rTwIhBUNUhTbGS7YgpB5PZchg7zEgipAHCFcKAs41yCogon+BANFkAMUmQNF+IIvAD4rGARB0IBu6Sk5YASdyU7tSyMuAEKXCrejEoQxEANB2EnrCwAlGE5psYmreQmqsBVS9ZBBjQDr+whq4wKXYoBLTAM/dCkeDCqdUAIFgKjBwdeLDbsrtZSoGAofYAq2Izf88JEsGDAD1Io1oE8hQQwuUMpV3U/OyEqw1FWBqZzgiZerfLQCBR1AazjJWFaLIcaHO8vGIA2L251kEqInuVqtAQIbYKcTsI3egUCnlNVa6UugiVdBCAL/QxwlFIgHUAIsMLWWm4glKIQIEQIf+Aou4IIhgNwgGAMMGJnxYR5B2BiMjQOQkog3AASHZdcxIAT+QXqPDSAEyB0DidXOiuwIBJCD25Jcx41cyJUJUuLbJBiKIfgsCzjHRiI1PGU2SuKLOaSomIIsSoGAPwgZJkjUgVjU98POMAi21+XMCNmCQqibCxoD2gmDWLq/h2iALoiqnOq7mnsAozQSLOHEVWVVpozLrOymtyxWWMXaEQzQJtFFDAS0tpWMK6CYD0CBd7JKi+MBG6AB2/hKIQmLtNVEVXxLIJgBDjgBFgCRIIkJjkMS+5ySJvle5RKIM2ACzc0R42FHB1oCDQoDexWIBEC/43SLbvKLIPAolSqICgCELfCnISAEIwAAiWoAQc2RIRgC6TLdwdk/lSueLMACMJD+pJ9IgDkQgyGYXxYZsOJBgiY9kG3tAcqVpJp6pC+9sZ6irO3alikIurRLo5RVnjRgHh7bqWVZCrPTigLICeoFYfLRgxUJgiAoBCRwNfhAPyrege6qmuETjjKoCLDgARHpNh8BIfsdjahd1UUohGyJ1gWb3yGZQRDsm15tSlxEK07zwIIjJ2UqRj4FAtkovdOzUP/tPxDMYCAogRGoAYXrprwiUadkjYc5I2Y9gSa44JLAZRDlofstqxeJE67LLlABC+aUCDMogOMYAuYYDgVoOiGwM9NhZMO6O+FggAwYiiApYlKCWfLJCSr2i53JLSI0rgFBo1Zhj2r5AnUmS4j+GYviSYkZgYAv0OEgwWPnwJQ7fb2TLGPiWU+PMABBXQ42vo+EQLGjWAlt04mXkgg7ThDvAhoD0NYg0aByqZN3HIOxOIkjLrmCQAMmMKg3KReJYFogaUr8dN9Khl8PxGCynCEQtLiqZcVYNcERxV8cklYyaaczQSsKbdtlJQGjVqpc7IwLVEVVxJa9AMZmvbSHIWbJGMvTYaEOhkGysJ9IfIN6FqI0woAASAAuJAMFCAAiyILDvWbdxedefdX/qz0GcLeH2YECIZq0442hYlLi4MxKyqkw0ACeqpYpnkE9SaczQgmYxJ8LqOfT0TKQEIpAyOJFiYNzjdy3FoM/+FP+qCBf4TpnwcbYYmkxLWguB2KCMQgDQF4U7+CxbKnsgWAAzpSQk8AAjKqZNBi1McgLEeEgQUlfCfk8txCERZhpVnVVas0mi/OB/ngrPfELiwARENRVfFnfT1zF7UbQ1csCGghGZ/06EYXBwNorEhgBGhCs1XDgU0XL/wxvEugAFljbXizlksAWGDyYsgDTkG2JnN4kIiCACrAACLCACoiAGJDcL+DJ7VAA9ItcFiE0WgGEnqgUbI6gw8ACPwDJgiA64NaW7cMfDZBYe1LNFpaDKS6UxgWVIciRHQC7OJoRcNHIqfIDCHAOMpgD197n7dhs6lNdQtADmvU2ZiztwRH+57CrLvZLyfK6ui0Qg/9OC3E2bk71AuEjQtz2J6voFTVoAzdojzJIApWzpJYuJqnjbplebv3crky+iBZ0ix3Y71l2QbZSElJEVdbDVYr7CzFZ5Q/oAN0pRrfCysrJCyC4ghKwmA5020RHJwDN4JhwMHY6kzTxZEYms8ZoYHEZohBs2xwRgi+4gNq7veOS4SFwgiJYAiJYgiRIgiKogm3Rupz17Tygvna1rGQh4rn5gw9XA5zIyQbWAjBQSIcApJyEib0QlcRyEOOqJH8Sg4QFiTkgBDGA3GxvVxgPjzGggHNutwihbk7acQ0IhCIrxDR4A0X4A0Bwdz8QT8EZ303+CgOHfrk00DYx0AMro84pntmswAnXnoPutL2cEQJcOigLoMJn5zGkAYPf/Ak3qIP2iNcwIAvyyorivg0Lbd8270QFy8oWzBrrtvMrwJgHjZ25yi8I3Vo36RzO44sfYNYQuKKvTFAMvogswIERyB3baODPKGYtgpfX0MATaKeyVZ0ZBCwHzuVYHYIvaEabcKSh6IuNYYrP+iwe2wIgOKgImKh3ZIQvEAMwINgvwAIsWOn3c9E0eAD0JJKq2O1lQQDdtadjs5B31pqh+uKCgN0/OPdAAINAEHsxCIJCSaNv7j257gu6cY7iIuid+4gziIPFZEyHhAPBacmGhlmbuSP+QojjyEYWLfuIgBeDge8UM1iCwukPIRiqOLhUgWAA6IwqLTieXkkDN6ADisd7Tm3pj2gsdlmr5G7zVW1uqmzBQtsdNJGiG6CBGZgBG7A8NfkdPc+qXeRusGxKOtf5ijkBFrw3eTFvizMB9ZYwINABFIT0YkZmjuGLBqOYtsSiSX+iwpBFMjM0PB8NpRLaCz/nCD8u4gEIH0MGEtyyJQuPLGEckEnj0KGcO0iSIMGD5EgSIlSy7MgyxQAZNQ5FOhizhYcOHj60hNnQMI3INAqQjBHCY4cPIWM0hBxJRkNNHkJ7CBED4+VDNxIr4sFzBAmRIkKEKIzQ82EBJluGJMz+OeYCUpEKMIgZk2EBzIdkyigoU+aAggVnHqZt4CcLywhp6dJlMGWMHgVp1ZCBo2XIFj8HRjo84GdMmAt80yzwE0bIDqE6MSRgTPhCmC1CuHQ50FCNyDp2yuwlg2EMwh5jmCze+wAMl8w+hGYW6oPLokfChw9fxEUo8uSZgaDM8oMGjStAoOCYweIEdhQyfvBgzqPH9+ThwYMPvxt5efG+zY9Pvrt8euQ+gACZ8SEEihzMz/MOP3S9UED8cIIIJODgnUr8dYdeD/Hd9J2CynX3gwsffOACczYt6EOD5XlHH28civifej0M4QVDMTmkABNZ2MQcEA0SZKKJOwCRRSD+VqmYRhsW+AgBBA44UMEARXAhhBZ+FLBjGhIEMsR5RI1hBGuMMWDEVvKN4VJMhAGloWZbCrYXG2tYAEEDb7wh5AAvBEHVFzrSZcAfWQKxm1kJdCkTBmGMMYcCKoqEwFqEkoEAXTE5lgWOcsLEJAN5EMJEAXSREUcYQySJBmNpHMDEGGLE8VJMaPihxXy8/ZlAGV2OFYaLXCgxJmppxHEHX2RcMIYWQm1B20MiQfAFQir1Jh8XxCn7yCKC8NdbeikJZcMIKjzxxAwqnBACtySQgAINIKI3rnolyrdehOWqpC5/Psz3AwofkDADdyo5+J57yAFhAwkelCBdFu42KJ7+dz1wGOC48RlMnlDwhmDgTeAh2KGHQOSQQ70Qdqhebz4kliJdiwqxm4s7zDgQTpgpBDJfhDLAAAIIKBCAEUdyQamgaex6UmYmc4GHnnQpAFRyQ4xxVLA/jcEVckK0VKVIIpFBBgMJkJFAAggEQEEVKwUywF4OGeDFVgi5O8YLVj9UhgAEgCHIHFVONneniza6F5NqMAADIYEFq7MYRitWtx9biGFBWGk88IcWHGmmhRGsPmRGABPAOtoSpj2qBh2GsFYrGQ7A+t2vnO6FRqa+xSdQIcsqW8hxyZFnME420uABCS24gIK3IYDA7cMl4IDQsbulazyJ4insH3zrklj+noIe5nDCByfcsB9OypvbHRAmyDvDjQiq+53B47v3nrs8TB/CCTlw2OCxHZL8gw0zzJCD7Aanz3CIW3xU60MOAIhePeg3XBjCAQkCJR5cYSEMYNJk3JKAI8DmVwWYC10ykDreZOFnaAkWA750Hp3wJGlAYVqYNECrsPGlDAkggBg6CIgHXCUNofvCAn2zhRcIAGsJUEACKteFP8mtU3R7lKcAwagc9QQ1TNJVIPwwpodYIFNJWoyKHBOGL1hAbiJ5wAB3oxvIBSBrMJuZ26jChSN0ZnNzQMRcYmIGAwQiNzz41QL29IBAFCtCvwmO64oTO9nZi3Y8KMF9UkACC/n+DgS/C4G8ojMxexkPPPg6n3/IJZ52ZXJcl7xJFm5AAvbloFjZy18nF5SDeJHgCc6hn/h8cCzyGZI3/APPKQcmShKoIAdcaFD6bLKw3VyBBihAwQjCBYTMLMx8d/QDSKLWmECMDJQGueYYuLCFbB4JRwxJVKJiwhYKZuFXgaKLGWAQBll2JzM3myJMEPAaDfkgCzvxotLE4zSXGJFuZZiAFpD0BQPsiAwPEMNWRqaDehKBABWwwBssEIE2YQFuiZtM3hpzlyyAwQFm6BIEK8CIRFRKLZgyiB9Mpyg/iAEMFgDnA74ghBzWMwYDiIADLPAAC1CUBzqBgQJCIhIz3EH+EUENVgH46NOb1eYhENig8rggiEASp1nFGo+IOgSEeDnSkQ/zHfAgyYIf7Md5CkIe8tgTpU2uy11pXU/5xNMbIFToW+Lqjyb1xT1R4ucJV6iOCXIghJRcEifkSZcn2bmD8sxgkTO4Qlvjmhwg4AAFHLisCjJ2MFvKzp1KMMBgHOIAasrSZFWoghe8AIgu+KELXfBCFbIAhECwDIJ0KcMRLqMFPQigoDAIKHJSwtROuQY2TdvJVby0tMmKCZx0S4AEwqAFLXiBoCoiQwQCsQVZ+mChQ3ACEY7QFKccIQZYCMMckDI3AP4tDXbBSyAqMBgn8mVxJE2aBWpyRcKJ4Qv+b8DnaIVQyy1QwQhEsEhFyksVEp7TIWRAQiLQUMMCnEooWgAWY9AgBjC1hwuto2pxBPGf2QHTB+vrKiTZt4LsnIADKLCB+JaHVrZe8q1ptaQlMdmbuW71PuBb0CxvoqCULOcHLLhPC56gAhUg88cC09+6BiahVD4oQCVY5A2k4x0OHYusObjyfUhQAv2Mz0E80IISKrWjACNHCy+YwAQuIOc5T4AIHVxIDTH6kAnqdwl5tBQSejXXOyrhzyNhwAUOc1yk+UQDXLjqDvYJtSM6+AJgmC4gQGupCpjkPDhx0Re2GAYwhAELjWsuffXsXLvRNrlqcEN9/5CID8LkUqH+SVIDOkWnMXwBAkyqAA49FOksYEEMYQhEGJLdK6pEhgGWyoMiIMAXBSgBuMO1DRhQ+J8hCAKQIGZWIVTHIIOFklspcOS3WOCCGzThBi44MgnC5cxPMqzGZoWr8wAEPbwGyGLest6dxvc+5exmldxawXVIIAIPmOAHshwYLskXniCfK8hQGIG3oHCFJ9jgQMcC0XNG8IEOQHLMCOrZ9nZwMzWrqAKji7QWJmAAAygADW45wAEM8AL4VuCiI3GiWCg4hDAsAZ42DDSHOzK464LGlAoBqgmDUh57aoDWYZPmQyoQiOkOzlIX0K6xNDOQLXDh0WUfwk8fiHW+rD1qDej+QuMG4ag0uKEOfFlAIvRA689kKjG1iQmFxwCIl1rKAtQEj7Smcs1tapMrVAmEBZz9kEgpgvCTT4Jx8bgnCDyJkDzw8LerOsjy6IAoWcgBC0Jw7t+hYAY4uNgVrpADHJzAA+DzTpDTull0tTVBvt/3jSteLiDQwELtm3eEPn2DRqYgBRb6nsOZKcuULJS7U5brZGngLWs9gQVLtkGVdXCjGyASeB9AQcYWREj4qJxSLIwu0xRCAAEEFQFWu1oCKBAGLrSavfMF4EzoVx40lUMwwBHMlPqd2RRgUdT8E1T5QBgwWq2dEHPxEwttDl1EF9dFE118XW4oyMignYsgxMj+HI3a2VbU5IynwN3KhJYb0AFfRMqshY0FIFSSPABfHMAfjIEXSFtoScAXnESAZMZMCQQPiOB5aAEg+ODaMAEjIE6XIAAejMFSAYuKNEDnbVK3hV5xFMLAfYeNnN4MnEBXgQAL0IB+0IcaXoEKcEAJiI+6rI4zzWG+lMtcXQEinR9kGdb18ccy4QQQqIDvnBvwfIu8GZZbdcf+8FvyVBkQsKG8NEETsMAizQt37AZ9XAElVs8KhEAHlAB3UF8Cel5CMIFgYB2naYjhTAADqJdDJMBrjAFtsV04xcSDZZMWFF3YkMERCJqQJYQf5Npg6Mo62YTJHE3iOFofRdpONBj+RmHd12GapqnF113VTQRcuiAGDJygbSER4TDKILAM3dmBGQwGA9zBDNrirgiB3/0cZTzG4PGFGVgADs1SCLpLx4iREuIgXaABEzQCWCSNOh3HFijB3zkEBAROkA3Bh3GhcCxCJenLFdwAGRIiCtwA/ujLyNSHmJUVgNCh9jBM82wPYunL9ETSfiDWx+kAYZkYCqgeiqEAC9gAWQWcUDAKfeAjOznTDizHE1BPCjRBhXhVfqRPd9yAZZGAJFKPCogPHEIIcrQfWlyXBATFVHyBBBja38xBWQSCtK2dnt0iXuTBKapFL9pEToBHFpTGz/EdCjmNBCoXh8GlK4YTXbj+3BYkyTQ+RDXmm28oCE4MgVHkUaqpmjsawACxRM/RBRwcAhv8HBnIQTqmRX4hxtJhxWN4geU5xDxeRpWhpfPohhhtwR8oQDk6RBnYxRjIQVggGmywoxXGxLAMUnhsoUMOxwGJUXdcARSQ4SNdZL24C5SYTBZo3wh4ZCaZ2YjlVR3m1Vr1B8pR1r/pR/p4GolIC4jMB7/AJLewQBPgQE0+iHNcDFkJWUlKSEoAwROYWwucQAf8DgikQEZmBhSogLywwA08wSLJ23k8Zbu0HxY9BAI03U1oQSBIgFC1ZRpw5RbM4gU6FwNgnqYkwef4RC+yE+1wwRSoVK2BhuMd4dH+lKVcJsdPrRCl6Qw1JQZIeJ0g9IpRqoe0fMeWqN2DdgpIGQALhmPYsEEiPCZjNGY5qoiHbgp/eaU8VtHIUFzEAdNNXNtDNAAgbAmpfMaljUaahVYD4NAmedttMssvoQR9QIELvOe5ncD9FAvtyM8NjAAoOs9ItkeOaRK+GGWcak+57EZ62gd+3AliOQiM0AcOUCK3VA9+pqF3IMQPVIcKwFhZURzHCMVEmtsKgADJpQC3wFh3ZIEN1N5FQoF+GkgWSNn46MYOzEZZPkR0GWMWiIEEsBBqRKYYGCgUnmgBHkHZ6OJ1HQEWEA8ureVB2pCH3glORGBY/MQB+QcQSGn+jbKQyx0GIBRAsfbl7rELXS5re83JXbDEN43EGjACHPCFGxxCkFLm0iQGPwYQPPpasJQBkk6rkp7HFvjZdUHpGCCB5NWaA1wao1ihU3WeGP1RlxIHF/TnRPpmfJIAmS1WD/SkwvrADXzAccbIubzVxJ4VWy1PKp2Hp2msJnbACajAcURclWUSjPxADmSLey4SCrgAxhTLMjUMDqiAt9AL9vDkTl7BDAwiCFTPtnji9UCqChTIDPiVKKHf+/TnyNYpF2TOLqaiSvDfBXzU/xVXgzpAP9mlGiwAEmyFFuQBp+QqqpBPTqylSkkNgcqS0ZRQoxkXb/yU1VEaFGnKR8j+4zpCpflkRksk1xFB0APkqNUGCxsoAh200UgcwtqBBkr9qmOIgVcebrb94qOKar0Gii2+gZ+QZdIMy64O1xVmoSU1ZMA+AuzUk8WgAJmynsMByDI1SBY0QfVAVpSxh3pcknLSIf98JDs5B/VYT6ha51DEB308xxgCz8diJHOIpm7kgMz+DsL6xrHMUnrkLrzEJ+u5gOs+zIF0R2WJwAjgQOwFbVO+T+3K1Tu1UHYVyxZ8QUBOBhlsgEk4KFjuCWUIHRYkwSmCjq4OASJ2hEEikVueUohGnTCFyQYYHaVJQLYNATTlSlXyjHUSmXgoxAZUKNYekWNMF57ZIhswwmr+hI0drB2msGPXoWt/QcBpOpgFZJuIOGr24BIXTHBrcJoYJMFBksEBwB1V8KtIYGGo+gZwhG6IJUR9GOzvlABCIAhzABNduRhZ9WnsgqTtmstOTssonQAOjEhU4hv32IAJLJJXWXET94yU4ewodcuB2CQphohKWAwZcgu4eOoJeMsZX4ELYJwKxN7FdW9siKqjIscYzErTbphPZYH6St6OlMFrVO1p6BkAGaBuDaA0EQYSYAFXABNVXGaljY5QDB3SRI2xalu1dqPX4ZAQZFpr7soybmzPHEsWxA3dYB0EvReOLOZDPAAjIIEXpUEd+J+HhkHXKQqoDN4JO4TLZUH+DmGf/vZkTqCX6aAmpoQBhq3UQWQBvzoEFnIF2k4VEA8H7AgI7+hsCMzAMi7HugABJaKAdKzV+L4pI2Jf0pYHM8XHctDAw6CzgGWxxuAVEMjACHAAWKXA/RTMEMgPECDlfageCWCq3TJn+RR0GX9sJlJP85os74yADWTBRLJpKS1UnY5qQe6lDWkdAQ0BVi6ypfSJtv7NjoBUAiSBGGCB5rWGEVwGFqPZ3tlQn5gSDyCjAK8LM1adjdINGbjcQFQXA5uEkC2pTWBGb4xGAXsGLV7rCjZOBo+ELevBGZAK3RVmFVlmM2uU4HlU2FQAGBShMh9LCCazyYQBBlAwIkP+hhI0QIJSRrXtKwNas7/6gCCALhA3y75gXCPtLA6EiBzCy7dA1sHsG0jO0o618+/mT3zIlsx+wI/1sXp0jwgkEggYCO6JL3is0gdwAMmxzyECZnrEDw8YGbd8on5kwU9CLP5cwfX+yyOWwAhUtlvpQGbE6GJlMZpNUUywmQ8EwRhUANSoSBkAhYHScj8JCp9pQbw6YxqcAQzUhFEikBJgUFoMaFBscgQCt9JorE81V3tBEBkQQE0o8N+mBXYZV0/+pQLN1EAEQRYAVSQ72NRMDaJMxgXjyBvUkAUwwh9oTq34n61Y0Qhr1LFZwLiKlnR1l/FkxkDMVALpLxeEQRf+IfdMc0EwIgAAlQHmjYYpshcPgwe3bXNVFUIWyMAinUDzgcAJQIHECsxOsvG8IDbEtceD9PbtjqyPxyE8F5KCrBKWPSWVIQc/o4BFQtaWiS/xeSIJXIe8/GxvxKioHi94TC8kgc98vPYJkJUmfg9G58AIoEANiAvK3e0OfPSkGRQ1qUQQhEEEfE6qlcEcjIEs/q0oOwQCAABN6AQT9NZenMGdC9hOzsbeqQECzAGseMdPFSsFhodObMAD0WrMEMBlnMiKMobouCjiCefikZ1oNKONsoUCxEXN0bmiDFBVaPXiEAIEqNcTVeYYBGPYaJFL5Vm+BsxCkc9AlJ02GcT+QBByhu8ZHuxfMM41L4oG55aKCvfAD6N4iM2AB3gAC7TAuaFflB1tgPCLCMibvcjuR8bu+OJzAoqqxvghDvzbYPc6aj+v8dSAdaRAB3yAMinHYrkkCXSACtzACsjLGUsWuUBLZqwPfhzIo1FkB6BAmJquFWcBFFD7G3IPENRAjOIeIakcW/IFnWgBTuiA+qq6Lb6GgYojapjBWqzFAijAARSArcLmkgjKPDmPphQdSCHABmiyUCBXa7xAd4fJNl6d3rSFW7CFAVAAhXsB2ITNaBGPuyxUEKSWF3zB1H8BFWiBmERyG8zBBmBABszBBcxBHACdNZ/KyiTXqyMOOEn+k60hyQiLhAFYBiAgKJbKFGaUFtpVgWsBgtQHAWL02kfFRAIwAayEYxMdXUA1O15zBbdxqbQLAg2U+SR64mMRT4JAWSDKC4zxavKZC/+wcEkOjBjrDy7VByRllnnilZl1hMny1Qk8wcmpMUW6WHTUVfaiOzPpS+0U9H10AAt8iAssUlMWrMfG3pom0xEXkwnUQPpQnG5qQRfI9d90vMEMHQG0CtnbUM7znwMUEd3FwZxdAAaI/wTEwJH8ygGsXZ+Apk9tgf0GixokwBwcSdMQ699oQJb0h1FUelq0QRxkAEBcsFChgoQJBIhUGSIk0AMyaSBCbOBHiw8fPXwA4eL+5IURGB81GCliJcwGMmrSqEEJ588fQIC+AGJiSKVKiRS1BKrwMKWaCn8CbVCAMmVEomQuhMmyxc+DiBAP+BkDJg6DohIBZRHCg4ePHRs7atiwwcgLImG0TGnQE2ICJWHEfNlpMw0ZDWGEcGFShm0aB2Cy+OBS6FFhw4cRJ068yMoMGk9YdPhwAwjXylx7YAQCBcWHEzkuX+TKYwePHqNLYza9OjNprqVPnx59ebRr0xhFA7nC4sMHFz9IW0xdm3jpzU1CfEBxhXbwHVl+qCDxwQSUK00+kMBRGaPl0bK56tA8I0QI7ZWBAOH9YUYWINg/sLjyRLoK0O5zlBjxw2L+j+GjRftKiQZ4IqoAP7bYwQchwiAggZNqSomMDcIYIxAHICIqjQ30UIIJJjxUQokYghhiBy38OIAoojDAa7XSxkBCAaPSSMCIMHyobQwYHjrqhTGG6IorIcbYgAG60oBDDz1A9EMJJ51wYochtJCLp4jQ8COM7ngAYgsjBjjggQYacGCACUjagC+24AhEjDHG2CKMQPwwA0k0+EArDAfWTOmBQAgxok+UCI0oDrzGSDHDm+a8oMeIJhpDiNSE2IIIA8hsAI0GBiCgQiUOeCqNA/7YQoxAHF2RjAy0yIuJUG0qo4EwghRkEcVwzfUwQZ6A4gkSzNsuC+JiAwKHE5T+A662/14TErbVRMuRuNWmrWwH8K7FLccscjgh2Mu4LO41r7q8rrcZmCMuSGNPIGGEHK64zl3QblvWXq58uEKF3lCAAr0rkCWBsis6I6GJJ24gwYMb0r1ihhFK4E8022rzb4guKlgUIgWYGIM0ILSYIIChIqxrgzGyCCSCK+vKQxAxttBCZrS4CPJEUK+CSAJapeWBSCOuRIkBIyQdjUEec9ZgDItey0IMGKwiCgE53JTT1C22GGKIErHQ6cinymCiZteIpCCABxEgI4EACABDEDUzVGOBCwiJU+shxvhjASSjmvmNkzJ8AJBA9AhV40XJsEApptbSMKowwnA07jT+FlCiaB6y0GGLF84ugwwyymDb7SVmvOoBQggRgxA5HlWDjAloZgINjf/aYjBdcce1kCzmyw6FHLqcrSsdMnJhOhWAKI3ZaVWjVjXZUssRPObHba1L93Ao77PLFKR4+mZ1UyE5yqh3mAMSZvjBPRZI+J27np9HjSsokA1hhsrwO6GD8+j3rIkmTuCBfqUnfCIwARAuYj3mfQVjZdBQGhSwhKKB7AUEiAOhamKGDIwBchgqVBmSUIisDYELXBDMEHwQJBStRWMRAIMJw8ODMWggaBDEgwl7FgaoqepHQTJaSQAHETJQDUh305oQhoARLIRhJzkL2xj8g7kghAEDCQD+WwJaVKTSqQQpMOtBEnsghikswAxP6dsWVNanM0AgEImCFY2OEgeZMcVwRHlcGFgnKjQkQRDK89kYMgCAMqypDAmYwCDGsATPXcUMimiJIvJYqJ1pIQuFY4usXsiF3G0yMYLIAnZIoIIfoMc7XsmX+NjDheE0h1jNi038vhMtfBXnNArKiG5+8IMbSEYFzFHQtaj3mtRspjMn2A78hKCDLBzrA++qDME+EDEgYOR7zhMSD3BAAhIY8zLG4pd1nvCBEKSgCSjgAApwkC52CWxYmYEfak7DoFR9EAke6xIXrMAERLChJyjRIMp08qi64EEMmTEoCi3ilSz4oXFscYD+F0wUPCBQsYYKwMMWJkYkpB1FaT4sTRZ29DWIIGCDW8AN5niQRAVlIXJ7u8oC6ulDHuSkKqIqQxaNYMUMmUECgRCCEA7KhAI8MCpZ0MKeguYAQIxBEQ4A3ANRghSlrDBnUeGgSSYH0z5aRghiyACECHXTOR2hTxAxgx2QAIM5rIEtKKnAF0DKhC3WZVZjIAwn8fqIRYBhPSyYzTuX6S3tvNM705JNNVlTm4R25SLS0sF3upMDKNyAsuKzn7Le+axl5chYwPodY0/jlR0AgQbZQV6XcqDN09YLNdL6JWdnoFrgPJM87IFCFm6gvRVkB11cgc4MmomDwLiTsKMZAkX+kUSGOSiFBzqYqBgY8YAVue5kYQCDByMCQjGAMaHEy9FzAOHBQhlACSYdTRa+YIGKiq17XQqpUcgAAyDV5mgsu6lP8cW0rXx0DBc4El3iC0XSZIELf4AAyyDYopKULiVzc9FrhOAFl0IKJ0xMKiAaFcSrEEVxWFOU47RUpBraZb4+G0Ig1Fso12GgEIHIqVFQwoYFoIENdlqRXwBBSUvGqgGBsFVe8bqIQkhnMtWyjHpC0AEUAEda3LPXYV9EMdPArzU5SiCVu6dLF6gABSxAQXm2gy8/TktB/uFswtgDHGDKBgjR8QwN0EOD6cggPUyTcmIz4ubLWiR844uX+ED+UJ5Q5iAwXcLBCNDnrysv0Cv1TW4cwDCE5OXFQmxQ8RCVcqEeRTUJQHLntXYwnC0A4sBIimCrzstQBB9AbBndkUBJLNM/ZiBqQsTAFyaVmmE9i0i0bmsXPcqFpjyFizAQgw51mhIGJGVYltnCFFT0FAPkmAt7EtVfQIrVnBWFDHLUAuM01rcxAG1ywK7lFrzglH6qoQwwCEQgNDAoqaUBAZNDybSP6ocZEYoMDWjEXYHMyUJEwTzA81mzHttmFUjmfsSjXmngNzHhfaeVVk4gZP1jLBYgyzPao1f32lsxMXcJCMCdjLUk7oNuNdNfPIACkeHclSiKPDhdaXPBbjD+JCCs/AQ34NaXQZAC5RDaNEP4QWxHsJ3kdec/w1FQGF5QxgdC4AtcGBIXxPiAMvZkQigbRAT6QgY+gtFE3w015sCQMVMTVAgZwZy+yzoqPwRGWiyFGnx/1HYI72gBV0nAHHxamv2GGjdEeoFIo/pWH3Z1x4tiABLeBINkq4EBrCKll3D2lAdMQWYBfcpfKoQHq0yO24ci0ocjIm4kjP4qPQ2SV4TNz0W5zggtvkC9aSQqDaEkKlgYg+w0VoFG3CrgnHQEH06wnGlKL0ePPbr+QoAD+bXXB4+l5jWFQ/L0DIt41M9vAjEC8dP8HFgd0F4HWKAsIU3P6eRCbcGOKXH+IWRBzqEkIDNJQHRoMY9cGWFmv16DXYaOmEAg0NCJOzACB1DAA9AlPWQumLhiCLYgCVxKQ7KEC5IphX5vAYJGucYgJ5yqUBQgDzwtSNpuKxaiB4QAEC7AxiICAQ5lC0okCMYAD5KNwtrJMl6tKFyno+gLkKRupDIAZhYihYwwM7RmAlmvKA7AC7iAeIKAC1bPToyCAfLgTeAmQ5YN1UhDCLRACWYnIszAALxAC6oNQ57iDQBjA/sCvizgA8HtKlhtC2qQ9YjiARAk/AQhCWqtJsgACQghvMrqgUQlQw5AgsZADwqAB9NgDhyh+PKqD1igl2SuzEguOnhJ/e6Mabr+QzaaLD1+IAeUJVwoprG6Y7FyILY4QNA6QOhcgJUMq7WMY+UAUOKMQzpGgAbcAwhcIDlOADi2oriCI4pIS7Wu4OB48XjSg35CAARWgHxSSNJmwAOSDgia7V6mT4aSQN0WRQE6DYF+KkZqzawyIAy4QGUYkQyYgBBsp4QIrITaEY0wIGo0BAL+AEjyIhDm4AYlAgy24rx0iMF6cGmGQ6P6jt82oG6wBmskcCHhkQmWUCXQgAkEIQh2gA4jqQqvUMSMQgEuQAtk7QvDMCIMoAtmBg0hogywbQwAwSFsYvfSICliRlGuYiKOKgkEEiK0alLwBgZyb6AK4Q9QEsYKcVH+FmAJKgT4rsIQHhESjY8PKKPtiIvk5KwDTuB+4IfwguPibKPJQpEGZMAGKuMijKNLemaxHpC0UGA6ki8FzE9gEOjhlqU70kPORKCX6M5ZeCAHUEAEfid/zGO11q95CBMIpIMEYg5z3Awul2kExqkBjZBdOOB+hAQWx6U2toAJuDEiJiQQTKhSxEACGEyITiZl0JDf8sBNOGgQIAcM4AJI3mQe27AM6glrBMEP1KsQKwAwUEOjYC3vrqm+2GKIgCIQIEcMYAY5xwBmfm8JU/JkJIUlLWDrnmIBmAALWUaqkihHKkUJ+k7aKMI0y+oNrMCodAIBCuUpuo1WUMRwUo/+CWLmVXQPBgOhVc4RDgQqJTvmDzYzbl4SxtTAouBEEXlQDRKhKZ1ykxzhCoZl0UBxX7YJByzisWTOziDOK8Cj+tLDBlRAP0xAYryCgLopeACkNHLgME/ABZqgF0PgM1QjNYbjlRarzYALfVgJPQ4tlNzjCm4gBcoDzriTWqAHQMrlMP1lWIxlBKKJ0NilFW/L5rLg5bLDBhrUXpjFj7TACw4AwdLAAvyAC4JgCwSBCfhEVP5pTsAuPeMgD5DgCPDgTfEgCeSUCIjACQRhhx6IpABlDAgBCdyTM5mtNuyuA+VLpnaASDbgIIsCDu4ACZIgTpOACOQUCYjACCxHwgr+sQzsEU4EAQ9GMyIUAEGeJjsvYLuAaabAUFQmwqjC4G8WBdvo8Ku2rSiS4ttQ7ya2QAiG7XCyBJEEIQ9YqECzJBENAMFqIj2Hk2gSsY7UwBAaIUHzypMwgxh/gAYCRpTsrEKrj+Rqrr3a7EQRbV6IIz1yoAaCJxRHiVyA4AaQZQRmQLIAKATcJ1tjkTTokmC0yQaOUaJGqeTyNQugQ3zaRbgUizCbZ+c6Q/lIzuQOqEtsgASs8kkzAgpcAFnSx15jKJhk46icitjSAA3qqUKCogAQbEKUYhBC8CnaYA0eAAIaAAJc1gEg4AEGYACOIBBwsmRQ4gHyoCWYQAKcEyL+MEAQ/lHwdkQg7SJXfxCr6MIMLOABWrYBHsABoHZqB+AFxAAQRhJs5kARCKem8nTa5AQGkDYptvNQtyDzSFJLxDMNAWMInmbfCLFL4ZAm33MLsCDd+LFG5sAP6EQOdOrGJmJMv1P32hBx5mBAD1IN3IAREBRac2cRAPZaQpSY2FIspyx5KPeWMAfiIO4SZ8CckgMxrxEUaeBDN9QEzLW5eEBfLBY0riPJ0m+Wmk5Iw49c24UEWu6WbIDODLOZiI4vgWV7mAVbvmO0ssn+kmfnIJRKuwTNJgNgo5Rdz0np3Clj5Yc4GMQBvqZQyAAOmCAQACEPctNMoRMdt80MGGD+fdWGDBBgfRUgAIhGrqROQxigApAgDzJAUeFLvprDqDZKQuQrGAfsaUZPQ8iAfdFGARQAAeKXAN7tDQ43DdbACPIAA9CASxPAAeozbtXzAr7AROJJCKBNVecuZVxVQhrgbcPATw/XdWKQqkznSxliZUiPDNBgDvJgA9YgiPhNDccgD/iXKJGViy6gjQrHxujgcSE3dzzp4mi0N5KlubhEs0S0tSyDBjpDnLQp5jgrB2igBEqgBrjlYegsIwLLM5TOYX7UMkUuoYgxYdpnlI7MBEzgCrollGaLYJJDlMySWJanS2ILMa3R0JBlyRaEB+QsOVgACkLxBlBgfxpwyoT+MXt9JnLskIs8Mg9gAALMgEtN1jSf6nB+sgwE4AgKIUXA6igWYA0sYAGGWCeTAAN/kGxFBThlg0hoaFYLUUMS4A3mpCqQRIjQ4A0GaZhr5AIkJSDhCw7wIpHnT22hgm0HYQDWBCXIMwu0JgnqqBDf0FbfCCosJwhCs94IsQza4A0y2GPVIAEuYKlWrygZkdhc5w18jEDVoA4QoYnzqhBMyJ1+QAF7Ay4pWX7Q4wdqwFrA5wpMgARWMQXc8n4QyLmgwAREwJkU0IDi0l/jgz94J5KjjzacjuIoebTeQ7ZmAwr0Yz5UywEN8wQm0wHfqZpO43fPA3NKTjJYAIGeI2H+3PIqZ4DLQoAD7ANcJK5ZmsX9WCoD0HP26E0BIIAD5bnrjmou6Dk9H0hA/+AAgjBCEpgBzFn3rFNpyWYHMyRpX487+c6pSRlsMGBw5OC/ClFtrtmmfkQLjlZVLgAMtsBovvBPRyXHUqaJhAgCAEFrxECVeVkm21NUiqrXrAgm6+JzZpXyMAAMiiRo4YieycCeE3Eo2mCJ+bmfuWD8cIB9UoCogQcthQM9gMCOgeexOIu0AugDfNQtX3E0qjWASiBeYssDGlbhrFL6SoN+QMBFQ455Xqk7dsMDbNS1bUAESmCysgPO0GOQw0xcLDlHfuCQGdQHlsmcei4LQs0Hsqf+PMbJW0BAycKsSiFwXHmghQFgsyc7Dc5gqsvRQlKWKP3zKWzEQiqACklPniNi8/qaSI9WPX3QaMRgl5Fkbv0b0gISwnXvgRYgCZSiJBIAg7othGtDJE0YYJHqVQHji8KrqQvR9OioquaOSOKZl3+SUIamjWS1KDFIxVCiAZaqcM5An0c7rxaBaHng6KbDPBiGsT6KRDcUYlaXWsBVOVxgBcqDMivjRJ37jqVUBO4He2Daj60RB8RpyaassKwptDTDpqFxyKfxjnkj//5lGpesOWjD/WpuLyG2l6zRX5UMCux1M/THRzsg0M3vBpjMNWp3gV5DC3DymkuGwIUocdH+aL/nFpn/mxAuoHDbWp4rYAowyjVUcIY6UAOypjffi8KRuQzi4AuCWAHue7oI8T9HhQkoScP1+sG44q8d2yRNU1QgoAu0+cSaaG4r4ANRpD8f+/c+ddIB1AozzNSniy2sShHd4A4Y4ceDzJ/XVX8+AP1Aw5ZIThQJKAdGYNyBp7yf9wRE4CqfoAXKowkKOdsFiNCeIIBIQCzrsovrjBezY6elBxsprrEQVo1JQ9L40gOiQKWp8QcSjjO03I21u0togJHjxVjEG13IuwcULjvKozdOgAXoZVIoDrFOdTSYQgDO4FgpvA2pGn1nD6psimjuFNNhPGfud7sKdob4N77+Rv2XdDkIbTxComqvf88A7pu/AfQpbJKlckpVFIdi0sI9ec8P5m9PxjMrVFAMUmVWD0UCadJAfB0IxOAPBGAQN4wRa4Jj5mQ6TX3biCJUlzUO9tnag2wQjgVYPMPeJxTiZ4BKd24aScAEcsBmckRfSOAuraMJtsnnSK7NSyA90MzNdWMt59U9vow94hI8wKVZqOmL2+VdUug0buCifaUvUSB53INdc5GVPtd5mow8QoAFeuUG2Kd9jqk11jVcOX4G4o/OiVTzrwnCAsEA+OJYHf0l1WCDLGRlXN1w/RsPKsQPZP7nr2LZxIALXyPBC6WHCrLUJx3og17VAcGqB/z+cGyCg7MAC7JgH69CqnrmREp4RUglV8cAAmgEAsBgmuDWCPatECWg+umIqADCTxYgWgK9QaAmYRo1CxmmWdhQYYM/gQJZePjQIUaNGx8mWCKIyYM7jB6ZPIkypcqVLFs+EsSCRIgQJGb84LGDBw8gQHKUGEGD5w0SRGUAycnDRxYcMlHYAJLFBYkTOHZmgXLiA4mgQKR+QPFj4BOiJXjqzPGB5g0gPnrofJsUrk63PnYAuTHiK5Ahbrt+MHEFBwoPJnACuRITRQ65ct3q9OHjLIqZIVy4iPkB6EDIPXwA+THj5wgVM3AAYfzWcerHcd8KETShTESFGGvPNpMhDJf+QA7IMFTIMWPtBHjGaAHUgExtjr+Fp1mARFCQtzl9jNHAgHYaCmOGPN4hZMyGBQ0hmm+OkUwcMGG+TEjQHH3G+GUujMmSJYwR2bUvaBlymk5bKEGeQ2oc4IUWBTlgWwNgZNHDEFskoQBEHF0gxhZa+PEARwYoMVB4GCDQRkS2zZeQGmRUEAgYgTxwXkfymVfGEYH4EQcijrjEY48+OiLFCh18oEIOWURmF08zjDCCDVdAgYJWigEYGU80ZKXCFVBJNYKRUNEw0wk58KQCCR6owNNdJIhglFU2yERVXJGhhtNqO9FAFJptZZEDCjVdccMJHswAhBBAQMmBTXSiVlf+TyNQdkIKWv11BVw+AAiEDTOYUOSYbM2pE1J2vgUqXFwYAZ+JJ26kEG738RbjqrYlgMSr7wnHHK4qHsDEGEIwFgYMBUL0QneihreBcrHaphECF3yxRRgaJNDRiQY+pIARXPzKxQapPmTGBWHMCZ4QUxxg2wF/aJHFGA7wl8YZEDx46YAF8MeRBMZtwaFtDoDIgxBaIAFfiuYtl6IaCGgQRhheoGvhtbJ6ZEQjeuixo48ab5xSH36isBZrPPUpwghQXDFDCB98ENROpx1WQlo4DHSFCl8tdliUIWR52AkkfGBaFjWvifNOKYeg2KeoqTbXW0Dg+cEMV3j3NAko4AD+6M9NnJbFDETREKpcOzjmlqhAPHHCTCDQpNVWZv3aQ5JZ/JDDFVpmkVSpj5VKFw9M6wTEGHwcIFtwEzNExgZhZMGbb8tNjG2tXIDhbXmQL4QABOs6rVN4GhT+EBka3IcUeGLAoOzjsqr4bLRHNHD5wWnwygUP+cGgwIVi1NX5gBBjdIBAWoTRm3AQdIH3DlmAAQG8tcERhhD8LuChH1pcqgUTEGu3qkIILNGuH2U4/xACaaS+ahkYFOKHIhlzDL+Pg0ihwg03HQWZlWsCFmhaSc89piy8yWpewgqRwsIDKDyKBGs5FFFIAAWeQKEEVkvTYWyml0/9DS5IIRcQZrD+MkJ5BggqOBNUmrAyF0ClZh8QExB0AJe+kQop+qPMyvL0A7PUpTMug4oPWcMYtwiRMZBBkk6wMIh3xe5EiVtcEtG3RAYcgQv5WcK3YqcwDGVBVIATT4XSM7oAdS5YUIwdGZ4loS40IAElWiIZGpCggHUrO78JlxgcIwSBKQENDbJefpS4EDM4AAyhyoIgKkC+84krCxuCUW2CtwW3ZAEQvdGI4WxjgD5gIQxLSKQayoAGBRxAAQpwXG3q0wj3xW+V8tuDWeaivCtQkIGIScufeIIDm3ywhSxY4VBCQCgriWAqOTDSUIgUwUMNxgQv68kJOrCz00BmUTHsyy4/0IT+KwwEKyK4ARf8UpmT4UBQaOIBDOm0A1DxpGs/S8HPSDCCEpiGLX7rgT0Bh7c0USdsrVla3nholTFggFqHWxUZMjAIxhVviRhhQK0YqYSF5upECkjCGHi3E53kZwOgU5EG8JPRnVynjAU94xeGMDwJEDSK9vlVeISlHQwNASlCyIISFACvMhigC+winm9S5IAv4C1gghjoqt6wuCz4AXaPnEIkexCeDCDkkidKgH0MiYfx2UYOcsiABjIAVjmcAT1nbEQjWIlWlyxicebkp2A4YDK0haADKNDSoVSQtBNw4GqnQRkIOtAyEhKFBVfIodeiZle8jECEh/llTfBWRHT+kqozOiChVlT4GReUDArfnEEHQLCCJzwhJiMIWWvGtk/GkHAEJ2BBYkzAlX/aszMv1Odj7tkYajbNaWPAQwISKaP5tMEMG+DC8BbK0OfUagj5yQADqiUrMjgAENcDovL0Q63fiG4MAYJh4DTwRYay7qRDGAPBkluA5dZlDDCgI0QkIAbv4KSmSmAqRhrgh5q6y3EJecBJkyIELmSVfAmIA36UysdH+iGSOyhvEgrAvYnViAtYEMR+nGOGPOjBD36Ywh/+oAc4mME8Z3TEItKK4pUsQhAcNNrPWAAFFkCTBCzADxTwNIIfMCVRCMTK2ub5Awp2kydD+0ADAZUZ03j+BjEyCUHL4sLFpdHWsiG4gZb6lCi2kDAEIEjBZX5WAiO5hlR08mEJzvSEG8ygNGbRwWzfHJnIJuXNfquzbkc1BC4oIQIrRRht1FCHhRzUOIGoQEFX5VAx5HFCALCQqoaDgTFEkp8BC0OyLLTdUr00vEtUkQXiO4QhTMEBCCmowirghS34zTrtvVAgAJQUlCqhDOgzQIKGAKvfqMG/EFrvEn5Xm/Uw0g/Anh0TJs2DLfzhAaW+XAIc0AUuBCEQHL3WARIxBklnSAyBkMCIHUIGJLwvxeQ2CYt1ck4sg6wJz3RnNq+ANhJkCYRRSxMN0pICMb+JSXY7lM9c+BkWeCD+zDv4JpRC4M6ZYbTOeksND38wmcrY7Upu84EQZgCCLqcgK1v5Q</t>
  </si>
  <si>
    <t>1qGAKINbA0FH8iyhRi4QYmpJEUMYm4HXDCFgxXEBYaAmo5mkgMSTKmasI3KQSbkTRHoQJxDGvqEdvDNHER2QgyxkPyI+MGWEIcIGlOfQpL2snbWoOQoeMELfNQDk7JFLUlSShFKIIIVTEEHNcCThhAi6ur+rCk7826lbbvqtnTBCmJtImsKh4e7LMAvgKGA5n6XFwY4ATNAeQIAuue3BFygDF3ouHOQzV80PhnAMhhvRe1CAVNZi+9jJa8bEBCBL7h4CJb79l0sQIhTteU4sMOLAQKBPEP6qwL+QB11F6BQe6yOAXmBSPHmGiCFowHyCw/4jB276AUuuOU3sDrAIhBBeTJ0gQyEkEBqoArxAqyrXf1iMoFUDachBHCwJS/5+9I3FgkCgWcH6khndTAFEPwTBDrgkZVIQCW55SYm5FwakQNNohO8dUIW4QIigEAqQgUpEBUgMCLphyp+VWwrQWhFoDEhsAPDhVpDRxw1wAElpwI2EkwUo2oqMSMmMAImUAjnkzMo0mVxtzMp4Scs4TO1lXeoBkK7Awagoyt3EytvsAdroFZzUAZlAC0A0ioQJheKVwZc8ANdIAgPMHFE6CiV0gB9YAakURpHNUaPMxctJTlXcwStl2v+suJuHEIGGfBr1uMfa4AApUIaL+YZeaEGcrAbZ1ETR1BugqR6W6BhuPEAw8YSVoiFI8aHXLB3lNQGdTRIXrURW6CGqsE8Z5AGBDB8WIAIFkA8h/EAgjAa1VI5hBAH20MYD8AIi6CK/FI3ivEEYyB7P4MsSLEQFkJyWUZy25QCZKEQeuIpRZADJ7ABMOcCWcZAuaQDPdEiESgkFdFOXxECKQBaLbRZDSIWoFUEPVEC1RRaEygjFng1HaeBG2EmH+ACYuZNCESFIPNPvbiNCrU2DoUULBcEOWACODAhjlVqoXaDdVd3pRGQ+kQmbfM2V8MUKXEW1UEGUfAAZeQfroL+AHPACGtwBgqgN10wRQCySfSieIZQIN3hBFoEi7cDB15gBuVzXCSxRhn3RGWggyzhbeT1H64RBgYGSI/RN45iRgPQYqfyA952GLySk5NzHOaGGA9wSRzZSIXxBtNxBGKCBFeYhXvhGqNhhaISO4HQBUNpHI7xAAigF3VxGAnQAFDgVUhwa6ySHkVGCE4mJkLgiRgwcf5hfa5YPVAYGQI3BntiWxLCA7uojAhzAiuQA9woElpiEncWAmoSjx9wAlOwAwxxTFUiAg0UjFljaHXWgiTQAcGUIxJBJUPABZxZNFNnMlsDAhMjJiuxg3dXEkBAdfqnApXZJCFRBHEiJYP+hTAkkGcuUYs8iIMqYQQ4MFBoQVACKXXepYOhZnd+hRJVM50wpCcsQQaHIAG985E1pQB/0AgNoFYXVQZkMBv9skp5sRhmwAVDYARm8AUGoEWjcxcC0AeGYATVqSSq4nkMYIfOWTkywJXAlp5ukACvgVJgNQEmSSiKQQDaB1kJcR0JoGNtkAaSN3ywqSwGwCosZQDMYR4OMF5p4EVGQ5VkIAGpUxnBQwbM5zuaeABS8JX/wwVkgAEUqit7caERMAZfyZED4HyVggYUQAhb4Ic1AWNciRcFwAh/sFLpCRpp8D2m818YiCwtMUOE9QFWdgIp4AI6MIPXxZhn0T89YEv+6uMCG6ACvdgCLAACG9AiXKADDbED2GUChsZ/GgIiDfFzZnoVIbERWSMCmCUhaBYVhDUxCyl1SKJdHKExaMICrFUCUwB3Q8ADzXUzEtM/SKEZPuOpQ8QzjpUQ2tWQLlGdUmeqGFidq1qOSkJELFFtVgABZBmL7nKggoAIDhAAAXAB2vcFEfAZZ4AGw1opxRqJkThKaBAAfDAjNVE5TtAAZHkYWMkAEkAIVFqlNGkGcIgGQioAomFdWtIdMQAADFBH2OZICpAAE3CUSVEGTwABrDKRdoEAErA4r+kh2xoADNCt6joBWtApLbEFSyAACiCkCGBJXdAbA0ChmogAA5D+Be1kE5Xja6EDHGhQr8OHBFZgAABQrAlgAFIgNkchfWUgBRSQAJXyKneBAA2gH6YoCAawAMa6roQwVSdxBNuasrGSAALwB4yQAN06b8dqrBkZAE3gX41KkDo4Q2cSAi2gAzagA9PVno15ID5AHKvlAbe5TS9AcoMFMS6QQXDqZga0QX16FRwTFLAlESFBHDkHnAjBBTHxEQ/DA6pajubYmCQYFRzwTSFxEjuUNGABAicgmiRhTjg4PgmCIIGbfqbKkLCpTxmITpU7nQv5qthJBk6Acf+RBgYABbSSAQZgADHQBZUTAQVwAA9wAAvgVmygBq+bBmxAu2zQAAbQBGL+45I5JV4aVVMLYK9TiFw902VmEAMG4FYPsAAFAK6x1GAxUADK+wYLsAYHUL0LwLqty7oLYAACQAAYtBFgJQN0tLJnwAAP4AQ9OptB4C1NIAAHAAEN4AAG8L1TGSZHcAUDYAAH8AYPUAAREH1aMAYTQLoNcAACMAFZgBBwUm3ua8DYewAHMAHShwRYMAAP8AC0ewADcAVc4AMbQjnXIZ7/wQAHwARxeQRC0AVioL+tS7sCwAT2dRI/YAZNsL+vewAG0Ad+0AAPzAYKwAZrgIRtNbsQsADzOwPnB0uIi6UhgyY6MFyglapL8RIN8rQMsQJeW0Mc0GanuWYQMhIBxAH+HEAlHhIR1KQQOcenHJKPkoZBUoIChNWa5cJQ1hlDLOEhOlIQHuATObM2+RMi8SMQB3Jbq1bHjBudgWZOC5VcfHK5UFZO1REbGfAAKatWaXAGCeAATDAIOJUEBFACTZAZWhADBABkF6ABGfBjF8DKrdzKGUAAM4AQPxAnVwQFFxCtmsiyBSABT4AIRiB1ShEnKbEFSmDKQOZjSfCVHjQEXfDJpqwBGHDMyIzMpjwBsJwE5XJPQ7AfGCCzzqcGaKAADiADQVkSXsYFxkwAP1bKJtAFQCBLLuEDV0AArPxjBBADWPArWmAC9bzOBJAEWSCqlIMES1DPF4DMF5DN1bL+BaV8yviMBUHwwSoxblLQBA0QtLZjvg6QAV4gldSCBQQwAT5mARdAAEpQeUkxw1wwAxlQ0hnAygSwBIEQA66M0AgN06/sYzK9mD/jQXIXJf+UApSqEO1Zd0sxubn4AS3QW/n3fikAph8yAiMkElTAEE3jWOqkW6CVWyQgI0fRQrpJdRvQAirAQJR6NahWnAulIMXoARsATChyjznQdjfwcwHJyAupkAEZJwjJJy+0gva4xD6NEtWiLExAAQ0QAAqgAAYAB0zgBaVoBEtwBR1MLVnwBV/QcIPgBV4ABlag2Z/d2V7QcFeABc12FJSzSFCQARFwAAmQAI1NAE/wBdX+Uh3EAUJckAVSYAVeMAiC8AVYgAQKchQpvLGZjdwN13Be8AVigNxfAAZLkAVI4I8n0QVlIAhMsJ0CANsGIAFN8AVjIDYs2WyTTdq8vQRaMN60VQRXQNqB8AVScAVaoBBm4N7MbQWUXXaU415eAN+B0NtL0BT429uZHd20zGVnsTtegNjyGdsGEAFMIAW+QoNHYARYgAWaPQgNJ9xedhI+UMHu/QWjPd/23dlWAAadPeKefeKand/UwshhMsyOChZ1Br73RMhM/BIXcagHBGnNtT82kEBq7LZBYTIkkAMMYyNGt6fbdBBYewMNYQM1xyQbYAMpkD5fDXV3lySQ9SH+U/ZNeEKDjOkhPWDmwXg0QuQ2dYyDdhcnrymMLwSYVco2SqLXdpwSOlMtZgAGUFDT9gwFYKC+1VEtRiJ9CssbvQFIXeCI3qKwOGUtM4oUXLBIVtAETGDPTBAFoqeDDIOBOItTf0F5BKIUOkMtkb7oOOWIOPXoW9AFZnC6RhJLOVsGfZ7TF8AESwAGU0gaY7c7sK59BDLFSQEUrq7qYiPXxs7qw01QLNgbhKiwL4UQWhLphCh9BoJqLXHdYPAETJDTTEDbU8hlHII8OGXsNqEWApnof4Fd5ZLojc4Fu6Ps1326QikwFohqWgsCummOotZlSKNMKOC3I4NmaSvkBxX+5Ugu11RgMtaIjh4BAqp1qSTAQFRLA1JeCAV/ApWZPiskndqltwnBAytQAgff7Cd1UAox3CFvJAg5Puf8qSvIqOdkx2CS7oysSFxgCFcgBT3vBY1h27BKHa1jijMiNjUhnM5a9L1+j6bpHF7g82IASOg+vGwcRMc1bqZ56rc47bRsihNrmkZTLfFO6ac+9G0xlIs+BmEgBVCfBZRHHX64GWNf9AC5IY5F9oUe76UW77Zd6FOT830/bpvaM8MtNitvJEtr2Gu/BLwNVIzuA51CUFRoYEG/qDfYEgYmNkYfz5Rumhsx3Csf+oLvg9rFM3ACExJBAiI4uYM2ky/BA2f+ggIbkIBEcAMmYAN5xr75Q7YmVSMbUAPmMyQpoFpWATFGFwRRLhVUMBQiQPy2tNVjh4ExFEsJkQM5kCfEpjOfP383GM9MUfqOrBXCKIyAGYZ8MufbteZVI6qpPWqUbga+Auk2QTnV0RI/4AM6I3WdiqqgX3fVBRA/gAQZMoTgECRcFJop08UMEiRChPz4EQSIQYM/DAbRSLFiECRDuAwpcmTIkSNBUpokqBLIkYsFuQTh+EOiRiAXj/gQgpKLGaBAuRhBSNEikI5BfESMKISjU6M0T/7w8dSpxSEStQqpekTjkJxSC44diHSsSSFZbw75aBPJkZ9dunCZG1FjVZr+BI9s1VrwYkWeeVOyxSo1pdSDCLduzBuEC5LGNIEUqUHCw4kee7Va5BhEolq/NkJ8+MChRpEiXIr06EGEpskeKTyk6FGEJI8THWwUCVKEh4cQLlITGQECRAgPOlAXsQH8xAsXHkisIFID+IraKj/SdNqd5seCNFFP7l1QY2SBniU2vno1ckuMBCte3d64/nv8Vw26z7vRPVKaIPvKJy6O6AIiphI6AqK0xsoKMotsCs+rBbWCKLyWMkQJiS4WfIytgiAb67yKvtJPiAIVUggux0riwofzDqsorIsaTGummRA6KaUtjiiCwZBCWgnIkPrKijCRLELCoyPD40mIBJ3+EmmvrFJKq0EMc0yLIrX6SkslkxAUM6KCrtxosCuLzAqkH8hEiaCQkvohJQVVsrNELN87ZCTGJitiBRI2oA6Ivtgbi7veTggBhQ9O4AG1DMtLqYcTZnOtt+YcFY+HEIIrgogbSEhBBeR2IAI1HTz4IAQVQODgBB0Kse7VGsLCz9DOwMprJqVAs+izzq5Mbz32PIs0LymRPfa99r7j79aW3NMvsscUSmjKLaytViSRtFVIpAu/AymhxxLisFqIqIJqIyDINbfakfhM6zBksYSIrrjK2GKMn8xQLUgMD+ovLQRxHOlaLgaaitt4HUN3JsiIzcotcPGV98saEYo3tXL+yw1JpgW7/dbckLS8NkmPVdxW5Xs5Btg8jVMUOd54ydTW3aI+C28g+A4xI6O8VjuBBBJqIOJJnTG6SuEgiDiBtOCy0+jLjXw7YQPhUCNiBRGoM6iIG45zoZAeTPDghReQS+FUIjgdbVUOSqgNN+lKKIJnRA9qVlnwuJvPWO5AJDanzQCP7Fnv8uqIv8SVdRbwZJ9lDL6KEtpiiy4w91cLLbZoCPOhtuj88jEMudxzzE0yyMDTzeiijIbkmqtAQvkLUS59L+cCcx2v8irYkgvcgowvvrDieCms8GL5MMbw9y07Qzy0ItZ3P/1y6M1zrMPM971edC24OA/Asy7vYoz+MsbQvUO2vlJtC0N251z21zH/Xi71x+he/ZlWMj9z011OC/TbghlEh7nPjaF04duCglACl+7Jznt0eZ1D5II6/dnPgh/LC8/GAok9YQQsviFBCEigHJssJj40IkkPNrAoDuhAYVsRSxGmQDQbnGo1IxDBDVxDkrAFhwo2GAEJdrADV4FgCkQgwhQ8AIJVgcADu/nU0ERQAp7dx3GNEeGhYLY4EXJkcgSx3bK2CLkMNc4/xYIWGxETGSNcQQpSiEIgomCFQORxjlbYIx+9EAgpADIQfhgkHa2gBSFpgY9zpKMh57gEMPTIM9ojCBaWwEc/BDKTS/CCEcxEGDJyKH3+YbACFJwggwxcwAKqxEAGMsCEPvjBC2Hw18F+hxOJHMEIi5yjFxhpBSwI6CRaWMIXojBHQDKyl6kRI018cJItLGEJdgRkJqXgBSxwYSLDtKY1k2eFOyZPCpfMJB/tGMg9XnMJqEEJGJTJS17SUY9zjIIg6kjIcUrhClnAETHReUdwJhN5jBRkIPCYxzA0D3YFqghYHHQISDjCXx2kjAcu0wOs6CxZHcxLcxiFGe4UCiST0YFlTIUaE4xgBI8iCHOOowIXpKADJZjCFI4jRCJQIQUbMM4GaLOcG4xgpi/hIqLik7iNlOkg8xHcGzGWN8RMa4yGYxaylNosrOZtb3n+Y0ybukCACEiAAmMlK1knQAGxRmCsFnCABSgAB7JWgAIRuMKSuLAECUxAAmpFK1n3SoAvdGhwQeiCEiIQ1rHCQa2HreuV8gIjh5TBCk/IgAQG8AADHEABaVDAARZQgAMkoAFwmEAGmuCFMlSLS88syBGusNe9vnWse41BnBDyWgmIda67XewFlrCFi8inclc4rG7lOtcIKEGbBdnCDAYgW7/mdra6XataKyDXsGLXBGNIjRbAGtvpolWsEjguXCtAXvJWNwITWOdjlhBW6aZ3ruDta1ndCodV0oEJT7ACvxzaHy44IqKOGAlBJlMC5FDHNkf6kuIkM8IVvK1WIT3+lGd+wByL7oAKhZiCSk1wqoGA7aYo8IBuqHBD5JDABVSojgikSILd2IkIKaVBcM2YRsBpkXFtrGp8pqrFpzyOqjwm8rL8c4QxDEAADGDAApjM5DQkIAGcZYAC0KAABVQZy5tNQxrQIAABLKFAXUhCALDMADSgmckKcLIBmlAGMs0ICVuIAZg3O+UpByAAV+hCgy6Coy58gbIUaEACEMCAMyQaDWdIM6LxLFoKMCEKYJDLYIIrkiXYOQEK2DSWBUCAA9mEC1IwAACuXOUFdDrKBshAGMQnLpVIIQChfXKaFRCAJojvJGYoM56jrAA1oNnJWt7sqRfQ6CZXOQEWMAT+XLQQgSUfO8tpHraT0xzlNKthAdt2MqcTEIAZPIbMAFhysNOMBjR0utZoiHK7uzzlBkDAAhnwA78K45hDCDiihxDRp2TjAaOJpUG3YksRUsCBTt2AwpMbYXSCU9MaiGAEPgxxEUoKHOQ4qghUKAFwpMODJpaABCeowaM2QoQc0OCHh9NqVFuiRcZMFdaw3k+0ilxU+HhnbztHTHxYrriTjCECVnZDG4x+9DacAelLbwMakn50NBggCgfawhOAffSiN/0MalgDAyRAiDLYhDMGKnMakO7lNBhACn12yjMXZIYvOIECB2AyGtyQdazj3ehn6PIBIuCEwB7omXnZAhT+DuB0pi9gAnDWC6kR3/Q2qMHoaziDAgYQiH+RaNQGMPvSv8wE9sHlCVM2euf1rvSl6/3ubXBDAiZghpKMQQJWZrrRT5/3u7vB6XwXABQO1IUmAEANWce75JeO+qcvmu+JTsABKNAEWlalIGbQ94ALRBIqFCcEN7BNrt6TVItQqlNrm4ljPVgRDINABTuAQQquWBveTCYHI8D4FFOT/g10gAaooUEJajAF3jiJ3viUAHwjmTsUKZG5/miom8sPaJGWBozAyOmPniMEB1CA2rO9oiO+DNw7A4AClDADJzi22tvAMygAJxgDCKGeMWACAai9NBCAtYOQk+CCMpACDDj+AARYtL0rwdU7OuZLAAfAgCiAMwlRCS6YgQZ4PKRTvDI4jC3wg8PrwKRTgAxQH3r5AS6AAgNIAKa7MiYALmiyug78QaTLPdbLvbtLAwtQwX2pALPTuwzcwA20vaNLgwOAAnF7AuFjOjm0QzM8vjNYNigwoIEwg3yDBEXcN4WwOBIwjh5ImKLaiPO4iiLIgUcMgd3YjzXJKIMgAtEADhY4AYnbP97Iix7oOA/wqUdBDUyUDhE4DS5AuSW6m/ZZjlPUmy1SQKCDKv/oqk78OZ+rOWOBQGVpFl5kucbBD/BDgjGgANPDOio8Q9ZjPTQ4AD9QjTJ4ggVYPTWsRtZLAwf+sIKH6IjdcQIFQD6kU4BA6IKkOgIz8IIJOIA0UMekq4NvTMM/5LsGIABBOJDw0EIoWABwbEICSK2BGLUGMD40PMNr9AMzSAmeGbUXVD03OAA+8JeX4AI+rMY6JD6L9EOjY4A2TI0wsACnA0mQpEaRNLoCmLojqDrak0ZvBEe8q8M0tL1BvABD6JAjSMRFVEQCUw3rAAHacCpjYTiLAJsSAgHlCA+G+5L04wAQsIwSMDnJaJoaKKIT8KEiuLCtGYESGIEcuJtZBLH5OA/eYInzGLLvO5xgjIy4hKoIlMuee8BidMu3BBwf2w5DoICUlMbas0c7LL0G8IOS2MZuxEn+nDS6BGAC/wKLIygDdKRJ1lOAGcyLLgCDDGiARJtGH2yDOrjDA5CBwOoOJDADKWxIqGvDleACP1hIm6w9BLCAMNiCO9kCKSgAhvTGNGCCiFSJqvPCH/xD0Mw6BriAMYjJQqgAuytM4/TIDLzGKOgRESyAxhTMEtRANRzN5ivC1HSE6gtKn9ma6zhFEImWMUK/FTgOzBiRDuqS3rgBnjIOD4hF10iYqklF/8uOAZyxFVA5rICUGtmSrAyYZ2nABA2cm1tQnHMjuiQysXtQB9yILggDCiDMgkw6pevQ2ku3AJCCItgXbgzEDU06CpACI5wTysTAjyw6BbCCLvgOIyj+gyYwABfVzqc7g2PjwZw8vQR4gCd4QorgkCg4gMK0PTVYPP2MQiQFzTZogEI0As7ggiMtyKxTAOB8EzNoAgZIUjv8zMH00CpcPLg4ScmLTjFFOiYsvbTzPc95AgYwPh2dRjWsyccsA0Qcz6B0hEMgAhaQjt0wC7qkpN4wTxBYAd5oy/44ksngAcvggLrxzwEhiRzIAfg7iITpAUz9jpAYGGBJDGLpDJdbT52Dqh0rlq2quVOtuTVZo2nZqmOEj1fNyzXZqM44AkKARio8AwSoRzxLtER7MgTgtABYJyST0+hcOgWQAf2hiJhkAgzMyaNjgBl8CTMAgwj4VUBEujP+WIMDqAA5sAA4gIDeZLqdDAOYQIgtiILFTD03wIDlJAjdfFI7TYMJcLXvsFJ7LcjfHIMQs9Fp1VG+k7JDY4BilbJ6PIMqI7cJ6JEiIAQ4oFN0FdYEYFgmQwApu9iCTQADUIIQfAIE+EO8E1aTFdM79UYGmAAyMIOgfNl9KwRFOSFlfKMMERrp4L6nGCMsAQJKCZSRozhnASU/wQpt+oi7CRwMKZOA6UT3iLmcmySoBT+pwjH4uMunvdphzBAfM0AyihSfu1qwtVqQGAMHaFMgfIM4oAALkAM4kAO2rQALkCsLIC8LmIAJuILUMIM+6EbBNFE0oAA/CL0uYAK7o0P+22OAdoSMyXwCAUAADaTWypMDPmgCP/CDPugDOZhCxLU9BHAAPTyJOXPXE9U9C9AXkIDNfqVCPGwCM3iNLQgEgrxJGM3I1+xI1TO6OoiDt3UruWVb/MIvto2DvIoBJAwDOUDbrKsDOXDbuXUr6I1btrWA9cKBHtnGkZ3DN6gACIADuIIACGADylNJrFuAr4MomO3TQmCBquyB4PqIHWMM35AiEDC5sGUqpwCC6hg5kjsVQyEMZgqQiRGP8mgSMtoS8AuyrRVb8INKgenavTkqm8NamwujZPGxMJpaCK7gB57g13hGxJNDN9iDKHiCKIACP0DhKFhhFl7hJ4CCGVD+VxssUQ6kVjtUAA0Qgxk9AjJwgi+VTmucut44HwlIgOHLRxjFgCcghNIxA0MgBD/AgGOj3bv7shhoICjpgihggxONvNN9tS6QggYoQ31sg2WjtBCUwr9tAwXggyccYjKk4jaIgz+IJSho4cuNAj9oYSiQppnYAgyNQ6Zbgz34gzxuYUSGAkX2gyXIAsfYgj8AAOM8gzfYgydwgibIZCdgAiaQgzUoQzWQAKBM30VshCoYRVvkDFy1WUe8DCIgVLh0VN8wgRW4ARZLZZgBkYFQnaTpjalxrO4IGKMaMmKESlfly6utWmLUWglmYMPZYBxz4GPu2mQWWzLSVcDs4jX++ANEIINuBjtCQARCIIRGIGcyIAQy0Bfx+YFtZICbPMPTawApiEgOkVYwbQPF9UkzgIIGUIDcHUkLCISWLZAiYIgyCAQKkDI00DYna+gAiIAtcIt2zVHPO13cDIIoHGPtLM6iS7smSJ0x8AO/pck2LgO94EjipMYzmINGaIR0LoNzLoNxlulu7ubU2RFDqACKRbo1WIRyhun0GWdxPmdxTp/LKYnGHVggrIMziANBEIP8GQMxAANCCITk1V4NeAQ+Td9HAAQYUNSAHDL+mIwa2AAPUFS0YJZbXUrWaA1bdBBgQRIvceBoWWX6WNCpKua7PGZl5ktq3qiuxWAOHuz+pETmCWxmvQ4QEL7nnkYEROiCQ0CEyC6DQzgE2IlshjiQiBkDGo5cz866BFDOt6BMyP3DBYiC4DQDGfDnDDyDB4gCMugQxkXCMUiCt4oAubou9BoAAmAtIXDS0m0Di97IQOjXlK3JOkCACPgCfQlpjWY6BXCCN3YMOcXSu1vpR5BsRKBsyY5sx97uhrgWmtgXCjhipnuDRXAEyebuydZuyj6EuRiMIGjnnd67BgC72aGLMgCDRviDaES6OngDP9jq9HUEQ6gC7kPQNkKNf+O+T+WMYlzanPCTXOTExGBaM3Es9jCTtqDACJ1ACjxsrt1rZJbgBjbxwn7mFA8jrR3+caq9y0hxCmfMUCydvD0QhOPBpDyyAkGQJykQAwRpH8WkSZXUO9DdnTFY7S5mxxndlwtIABE2OjWwAEKQixTqjNQMAyiw3D74gyf4AzB/giRYAipN3S0uQTSQ18HIaGpEw849gwOQ7vSJTXi+uzbmlflOgh+2zDhYBDuKp286nuK5kMNAMgkw76UjZD0CpID683paAiyACekjrNHr4jNogEaotDHrAjI4hCjovCStAzpoBFLmakAohKWK0PcgApHTlIjIysDxjqpxDKnQ8LakGjJyEKAzk8bwoDESZpZrYBK/4BKfYAs2dhfv4Awu7GkO7BaHSmmZ8ZS0yDjAAAn+wAAMuABsx/YJwAA6uIAJSII+aygOKVEd7VzWC21a6uE9v0lrfcIiGIQKOIPsTDo2kO4GkhCDwNZDMITKNoRy/m5yzpZdbtfZzV0mvQgzkALjNlE3GM10pwBBgB2RtskNjG7CrW45XoM5sIBVuoAL+HZstwBsJ4AYiPTtmHFERzo1iIOO1/Ztx/Y52HYCmAGCz4htlOQMPAD83p3d4W4+SAOIXzo7WIRHKHWujh8ETVBLpJQrco0Gg0uuygs1CZi+GbgOJlUGI9U2mhZrXvbwIHZnR2wPHvvBJnYVz9o1mmax9XqEIIQICExqRINt0yws06wCKIAF0KxPOxC/GXL+QPxn1kvuDzwEMVBy01ZRxxiEMTbRpHsAPziEjjgSXQLkcf7pci5ncjaDQgAuepWCxeRAN5hy1J2z4obnOq3WPwhnwxNkNNTSsDOILhBZ6KzGhe6sLeMsNsv7vB+AJZBIg3BGC5hdP1SDu8d9btu2AjCAAIiB1FCYIZj9q8s71mODclYg7BcDQfiD5H1no9sDQEB6UpYoARlmLjqPHlCpGlCNXFJrx0mK9VhQrK/LsngPmDMcB63LIkvGIstaCs1/gAgiUKCQgQaFIBlDAU0bN24atokY8QzFM2koXjyDBk0CAQS2IDHY5cmChxEdPqxTR+JJNxYnDEIkY8EZkyf+2yiQUubIlkANzjS0+VCNA0JbjgBBMiQIEi5XkjRxkuRJkyZ9rj5x4qRPkyxFghzpImUBRIkmMYw5IpCLnwYsWbq54/JmRDQVBCGKcsDsw4cLnHQRGPYJAodvDWO0WBcNAzWMEQRYwgVIECFDElJQY5hvG40WK3buzOCMggAxtHD5MWTIj5ECIPbtq4bPHydVqzrRMKek0DZ17DB6BGk48eLGiTs6xGVpkB9CCg5kvTpIERwlRuSYXJCywcrQBTp/Ln7I9+4EB/44aL7yevDdmQeBr74gfYFL699nn38pf/bxB+LHXn3n/VcegPYdaFB+AvrXHkIKMdTbWxMdFpH+AhaMERJ4ZZDUV1AR1aEHG0CtZFgCDfTRiBMMTYhTIFtwUYQUe5UFmxoRGEWdYEFsMUMEEVBAgQQOUAAHBEE+EIEDEcxwFI9jlWWSG2hYsFN8bNH44Ul62AHUTX7J0Mgir0kJkQJMWMkTFAhUaFOLX6YhgBdHkXeZGJnVSNebLHGUgSFIALHaECMBgFJQhr4BR5BFQgDBA45FCWIfwh1X6XHJTRZfQfDdxxwRJpjwVXrdjYregXVaJl9z9g3YXXncDQTrquuVB52q7eGaq3kGtncrgv/tGp2uwhZoEGYRusnSSnviZEEXGgo0EllSmsQGI3KkkcaHKyUgByN7sAj+lxs5mXEElnr2RWUZWQTBHRBcbAFFAAkwsIAaC2yUBgP17hsAE10cgcQWetXoIVpqDSqFW2adpMYieygAV0NnPMDIIgp4KKUCgAlmxhMMFPzWsuIGlcYBXnShmmUJVaBtxjaN/CVLaWRQBhKpCjFSxLEZ9lBFCZyRwEYbRZmSHoxYmnRxyZkhbK3/FQFEDzhkapBqCSqIs6DvFXgrfbyWqut3Xq+3IHMLFsugrQ06rWDbbPuH9qn6AVu3q5Udq2eeLaI07gQ2o8chWXw9ZC0jDVxUY7Z76AEyyQr4UQaPURhwGEpnWHAIFs0BESgQZvQRABoohRuUGgwAgCYSrfn+MXiZU1aJ8LmRtoEGI4HIEe5mC8zxxxoVtpEGmmoVMVJhEk7kZd99B5+AF0jcbFkXYVQwOrMtLS9RAjWjGgSHxzO82bLakixRHXckQqnSSmMaqHPmwfdVEUP4sBR3rQoka2WClpeeZZuC52mWyV97wjaru9GtWL4ykK901R+3YS1YuJKbBM8TIIFgxnFlYomX3oQGAUwAYAPhyRMwBhuINEAQjeBDAshnkjqcIQ558FBL2rAAKZQLCTMiH2fOIAFEbC46RyhDHxJwwmQ9ZGNkQIK5/LAXJLYhdvHpQltY5KYF/AERTzhATb50hjfs4XebOQka0CSYkYAsY2/pYLL+IhInK0TPMlygHg+1dD2JpGF7NiNPczi0MzXuDXgvPNr6CgmJ5PyqQfB512rqNwTuNNA9BJnOfBDEq/09h4Cyqs/7GGS3REqQV99ZG6f8Y6C1eTJB8skPKt0GnfL4Sj5HGEMFgNLGuqjBMRtxTGMYgIbSfERHYDFDE0zIMDU0wAplCAQcdsbBNsTBcknUSVisYIAIHUoiFSDEEdKzGiH8wAxOAIALx3gTJYZkC374HcMgIsUgcGFGamjRA6KAiEFYwHEnPINc3GQS4QHOXE8AAF2SxUt87Ws0GuGIAa4AvZXNsgJ5el3tGHOGhI5GAaWJgRmUopqw9MGZgAwNyfz+mYdFqM+QlnKEI1KjK6R8s353W2S7CjirTV0SfqLE5P7gRqCz0S2nzMlpBLl2SvhV0EGg5BqBmMoUCOktIm94wwMo8IA4PEACVSVSkAZgAhitCl5QcFkN1WCAL3RhDCG1nlm6KE3INQ0JXxgANpnXhjcEogvg1FTOniAANoUPLgkADBO3IAVnvoVKaVlLFduogCiQoQxReEAHJXKGEk1oSk4oQ3p+wIUnJOCWDXlDBR5QWgocyQEVqEBqI4AFpTznMrRkq7jqYNrTUsABcFCtaikQgSTQKT5HAB34ZNZGc0oEfUhT6fowVTZa/YcylCRqrlJFKuhChzv+8w5rBnj+HrJ9Mm2xDKp6/rPA55qykpa8GymxBkADHYEQFKjszHr3hyfcF79P2O9+ldCEK2wBVsMNKRKJ8gUklOELF9BnDcVlGAYEYidIEIMEGDDSNqzhD+XqVM6UMIADsCF7DBuszXgSBTYcUSIXKMMWBGLYLL1FAYLoQhfIgIGIvWmM/xweWD6bRorGYQ/55e9++/AEI0NBCVqA3nTm2LJbqkEPfxgykYncBMkcgTVHGGJIA+km+h4mD8tl7voO0TRVXheCujLgqtgMnlu5eYIBLO8lW4lA6uZ0QGNLJK9u5Wex5Qo+BYEqctewCEQIggyKXrSixTCGMGwBNQELSRH8SEP+iTwACwAbQxQcwEZDOdgNDMAhWMiQT2qVBQ0aYPFzwoMELMRABnzIQx1AbaiNAWy4UZhWG6v0FR4F4gClk4gC8ooEMkjBAYnLLLWGwgczcKcLSWDwTdAQB0Ig4gtkEAO3H02Ib48h3HRSypZpyc52LuDQjAY3IcbQ7jFoYQtFgB5TvNdloaSkJhvRCKSU15A6oJTMhlQOdIe1njhDdz9LNbjV9oxUAJaXguuFW3+o21RY1q2VqNwz/tL23oHMEQLYfEuGEYGIMpz85GUogxnMwPKW03g5QxhiCW/5gC9sGQlgyIARZdZOlEB4DGAZgww0GJvOnKECfjjEsyCKBTH+qFARb2B2GxgAmCKY+Il5UkOVMvXiOhI7rz84NhNw/O92Yk8BfBB6c4x3QomgYQ4nPwTL625muq+8DFyAl8yPQD0xtvMNeFF5Gehu5pYjfgtm4AL0oEdExNIlhqttFAQc8IARBaUOYha4IZ1b1Fl1sjmvXPPaLC7JTrIZ9QV/4Ex75dPyrh5YkVTVTmE/3kAbJL5wGPlNrNWIyOYd5cIPfhnGwGImfhbsmMb52Jf5E+Rmtuo4VEsXlFAA3bkpDRcYxBj2Dr0uFP4RjMCDZqK/saNUWgooftM74wljluQkZU35AgXKKTGGqR3aYEGjcTuDAbwQQhkYQt4FYADS3QD+6h0XmMssZQa+SdWhEQIZqNy3lUEBCqAAbgGMhIQf5ViGRcEHgmBWVADI1AEejBnnNdeZRRJ6kR7DsVd4ddJQhRegqYfELQgDpVIFjV7GsY3cnJfdDAjrfce7FMJ8RVUa9A5/QQGV7RcUGNkfJNkMGMEWlEEx1YiXHAAcfR8ZaIACXNb1+EUUlEsQdMEXPICFlU8bHIAGSEEYjAHwlcEgLIITTB3f4IQTyBtP+IHZwQUaYMAStd1klU5fFJteBQyHXF/IVMgB8IECgkUVplGexNCUOSEUNOETWOKR+YElKkGS4cBR0JJmoFobRBl+ZSIUoKIlqiIqKsETzIAUCsz+EyifNuGFotWYon2BDLBBGthB+qBg5xEcKxXcKFkQejAQH6lKJxFVxw3jetXHUYWS6/2gxCmVUxHL6NHeDDYVfGxBGMAB2JnEGcBBHBxJBcDBOVoABazWasXBavkWAVxBF3iMAswiG1hByjSfFURAcTHLDQld88XA4HyJYaBBA8zBE0RBIChkIPSBHLDBsMVYE3RBEcCLE+1JldzMoAQb9gTFY3WBlpnBF0gAxizLLSURE5hBetCcBk3IGrjjOgbJOppjkTjAkvxWvBFCBYhiDU1JOwYJkKjjasEBTMLBj0QAAWQBT/QBF70JHATg3jHe3sUhHIDRCf4i+xzCA1H+47BAHFAdHHg1VdvYmQt+0lbGTcTh3llSo6AtXOs9nCLBxw9sgSHAgb9NCEfQYwslgF6iwQJoFEfspQEsAfiVUFTZ47M4R40tpVsxC7lkGUIIwgB8GvP8UgPIgQXIgRyc4xroDoUQWxM4iTrRiD9F0RJJz2TxpEMsgLGlh8C0hS3ZFcMsABNwAVis5NvxSQLQo0bxZl7mkQKcCDBlgRkQQhzME2eYREJplG7qJj3mEXOmQQAMgGRswb1NyBk4wCBogVqsRRAQJx0ARyNcZee1lNkUY3rpB8Qh0Hcl0A5eXFjeWXrGR3/Qp36Y59bwUbEA0H7wx6YonMIpEDYG6Hz+1ueAst4DAdAWEEIEkNWFWUS2XE8CGMAMrFwJpYGt3dU9dhcSdAE+sQn0scQN6Z1zYAEZyIAXwmb2bMQapMEuZotGXI/V5RoXEMylRcQfRk8X7JpdOUQBRMFHUoe5kEEGeGFs1tBf6NXMcUgk3hJQMMQ8sUhlaUseEUAhVKBO+pMbLAtF1I6TWlZoZEseGQAOjUFhtlEaOED3/QAQFEHUFMFc8kEiWOV4Ko1yVBwCyWCwXBDEld6v3KfskZcP/srH1SdQISiCGKp5pY14Kep8niWgsh6wEKrd8OeixlZCRACy4OYaXU+2SEGN1dyhGMYboNURiAeCPcHziZaFTB/+3nSBFVjAsonqZuwbaEQVS1idhOnoaG7GQ1iAaQrBMpXERBVAXhEPPJkBFDiASPWqYZxJ03HoxwTS/a2q9kyA8ZGBBOiYjd4RRKTBmJqBa2wqGkTAYnVO58xbGTDCnNJp0jjC4incfjqqeXWlohaqvSoQvvKHVjYqfjIqUE0qgNJnfbbXdCRqgd7rdOynwbaXAvGrItkHeRwbBUwLbIBat+JRA+gEIvIMStxcynzTEGzBIGgAk0ZfAXwqdyIEGUBBy1RWz8QMiJBIjtWOE5ABQuwq89gEjj6Hjj7AmxQrwHROtIwBE3DR0XXsX5TBc0QrQeWYoYhYZp3BiimoBRz+J0/uCRTVxQHoBBmQxN5MiQOAgRFMB3dwgRk0gni2KzDKHKIqqryuF8H+K93c66TKq8DSrb76ab/Kbd0OKr5+3N0mkHm6reDGa8RKKt5kK0t2bLVOiKcqGkmIYt+owc2FhKBchsc8isVybk7UZnjkDMtSANB82s9F1UWdW9Vt1s1IFq+aBRr8TfTQ6MK8hRr4qAjlj8AEwuhKk7OuLs5aIdgiLdqJC+wW3+I6ILdmT2+4gQEEgqIlgQBAH3aKQWB0RxccwiOk1NpiZdvyK8A6asLu7Z/+508BquDu2Z3+553OK9ySb78Obt2wr3n1LcKqpd7WyspKAACA2XVSCFD+ADCFJMABQEGFCgB9MYYBaNpSXA0ZEoIMXARDeMkEf5BkaMhlcKgYQMEFNADp9i/McNADzMFuoAFFkNj3RUEB9G8CxK4cKQxgcalFBAAO/Vq7mMsYFFP/TkQCMMESIYERlEESzAtJ6fCeBHAbIMDfgJ8ECABDyOqXYmzt+GgZEAq1RQQCDIAY3Mx5IJgjbC/31qkZKOzEGezcLqyjpm/81mv54mv4zm2+qm/cnmV7fRz92qd4xXHf5u371u1lkMEECEAaMIQT/1IuDTIvDQ0aCLIgq4ECsMGJUCgi0uNG4MsCFMAAvFZ6QNIsMVNzDo0gK7ICTOhyBFDPloEUZAD+BTTALsJoZiXyvTyABgjCIhjAAQxwACQBYgaxAUzyJx+AaWTIUsTTALRQmGZLAgzADJhB1OSeGXgBIKeBAuRSJaPBGkjoZgVMzghxAzhntkjzLiVyKIdzIscJAaTFGEwAL+/mRvjSOFNyX6KBLiWyKCuTtAmAAigyKJ8BGwCAa8WRxB4CGAucmVGS25Qv+x4u4n6vViJ0oLYn/sJvva4x/PIxxEKs/TYs+OpxwIIHEmhBDADlOZ7joqiWOy7KSavjokhABFyAZHTBEkyAbuVWkDiABEzAa1EGrAjMIDgBUJ50BfxkBCxBU0QHeQhBBoYBFDBBOjrAASgAArAzv1j+cgFklQw4gRUgAhgQwAREgAUkcya/9AQEiaLQtFczwbyxRhHAtFEWSW5FwATMANa5x8xV5AQMgG/59KIwyXYOgRFwwQxwNVDmdUy6I1mfNFkDtW/FwFEcAUhHQFEa9k8nNkoH5Uz61gRYAeMtgQRIAE3mFpEMwGmEBH0MwSE4gkCTGab4rduKr73m8eHmKUWPrxx/L9+6tr429L268b6+rULjcfzab0TrBxIswQxsYioidxQkNwiCIBSAoBIo9wxkgQJewQygoh98IBRsYpPoyK+pBoeCAXJfdyr6ASw+0pvF1tmGgRdsYhPIAAZgQDouigVYAAbEAEJqW/WOgRX+WPcMKIERKAU8ZYFxa/d4l/cVKOAjcYEWzMASKHd0l3dcT4ZWmssWLIFzi/d1S3dtsgYSZIESEDiGP7glRgFCXrcSHPd4F/gMXAFFcsESdKIflLcfmLhyizhzl3h2kzcUzMB2HoER+DcqhngUKMESOIk3mYFpo3Zqk7LtMdwKkiUorVJYUlcDmV6Ur+eTy5k1QhDGvcdSFIEWhEG8hVuZb0G4ueEWkMEtMpoYMFq8fe4PvOmZq7mZM1F319RldEEGnvkYnLkbhhtqeFS7hCxdV1qNfcEXSEF279cHSsEVfIGmNd4P+HW8RRp3BsqbWrqfZ6AZxFs3PVJSUKGiHZv+mdcmZYTeD/AEFdJ5nz+aFrwpgPS1FhRCn6+5wKj5omVgmPP5nvM5n2+nS80SmocbGURamZe5GKi5mvv6r2cgrJ+3EYjbUfQ5pIGFSnKBki85c6n2DAYug7Dl6PVpny4q2hDj5wljMR7Vtz+jJ91px7W72lSSxvFguq+ngfxAekBl40HlEECl9zXezXxfwO+dd+17VMZcSFDG/HA4H/37wwP81hT1miZFU3AohxLfnodrxD+Sqv/7eUvXwTeFuewdWFw7Bgv8xTPeUC3IlpF8U3jfw9fU/sC8Bgb8zUdlbe6dvz98U7AGEHhWzO0djVm8Ahq9xft70cM8PDkiZcT+PL9D5apQpBmw1Lanthib55XDJ5arWVJNudZrI9ezoMFB+dNUV1sKiw+sV74DPRAgBdB31pu5/JYx7WqMiruA05puGXfMz8wRKH6uaZupeqfMfHR4U8pzKE9smdHvPHdaTX+4iyZxjiZLx9WozKkyUUiMSqrwkeWr+pqqutuf68x3fIz8ON07RzeZPMWfa+CfK6pL0g8zkaojBOuLviZzTrsAve7ne/4M7ZYFfnOoheqvhbZbPXMRtP36q27v68CWMebOp3/e8RoPLKQ6bG8/v/gOLE4B7m4///Xva0YTqPveNlsCgRxJl8QvnHygOmypivpzDndsccSuxu4nEv/+jBcDgxNCMNGW+XusAESQIkGAECT4I8iQH0OCIAzyECJDiA8V/ljYcMgQIUI0BjkyBInCiUISPjzSsOTEIj8KZkzIUmCRISddTrR5M6VGiVwUbsyIhGRGoRIlRpxYFEhSixCBEEU5hIsZSFOpVrV6FWtWrVcdHTJTNCVOnCTFljUrFizas2vZtnX7luLZtDfJPryIUedDmTcdSjwZ8a7BoQxdwhRqMy1YjjVxFn5KlOHFpExHTnRolzHEH4tdDhbKcSHCvnFJG6XIhTRNp4RLfgxrNCNHji19vvyZ0HNuyBIL2hUo0eHCIWYObTV+HDnXQ6jhNnf+HHp06dPfig7+LZIjyssWewdHWJCmaOANRQepXbC23aZCy1tfmN2378szM36cb7OlefP1GzZFyJCk75rab7H+7vrhiKVIKig/otpDqSTFivrrwctMsk4znzjygSTZtINwrcxqY82y3jLiorjkVFwRq66+wmkzu8iKUSwabZyxobpkzLDGumjMcUceLZuRyCCB7NGmH49cckklQXTyxxvpYu0vHY96baLuDhsNs5RYGuqo/+byDUDLwuosR53QREwj2TISTqHYyPJPzcNwo+gzl3p7ysIIS9povjfNik0/Hd8ka6Ps4qQMMdzmAkmk/TrbTNErhzjEERY13RSSQw7rsCayOvqz0P3+8HxI1KAkAnXVUEuFr0D9Vo0rVlZP1S8hUU19VVJUey201VlhdXUxUH0NytdZU0pVTeE2iogzWnE9asuh4HwWT/ju7GwoztCss0zScnOUTUkh7TYzRwndNls7BzItosG8xU3RdPEE0zPZipUXtsHUPWxNMFGtCV/iMuUUYeS64ok1wvDFl9yHAfa34Yoj5LZiigFW92KHJ/444o4z9ljkkCHGuGSJOfP2ZJIbPjNeWTGO9l6C2QULY3lt/pcxEnv2WDecdYON50bh5RldO0uzOLbPLp43MdNIjOvRb8cMAsWEtUZuuaEdFjlnk18O2uucxzYbaJS/Bjpiz4qWOGz+jUGWm+213W6a7LvBvjNWm9X0M2C47974zjMnrtlllPcWGOl7bx28I26p3nZoqtOG3OfHcyKa2isTwnTr0LVaeOOgAY8777EB57j0wU8//fLW6zb5Zqs7vjhl29d+m2ykM/d5boqp9Xr11XGG+Vuw/Z3898aTH9l0ki23ejXGb3pZed+NLitqz20yw5GDRR+/KtKFh15yl433Xe+Pn09dYuPjpzv6+sdNHP7b74effsx7Fzxv7GMf/wh4vgIe0H21Q6D7zFY4LF3vOSgSH/ko2KmvoO1k2suf6i4ntvOtD3/tSx/tzvY81sFObSA8ofrsVroB/s+F/wOh7liHQfT+qc1/KKTcAgOmPBlycIDFe8vxtvcQLnBhghWkoFdi6EMdAjF1sPsXCjdowv7FToRZzOILBbdDLELMcKaTYux8qLf1jbGM+yOjwHZHrjS2D3mF0xn1xEg9P8GlKI+6HviSqMTxdcWKD1SdCqfWGBUy74HcIyTnGKmWQiISgoOUywzvuBqitXFzbNxgHDP2RMtNMWpgUlXbIEPFtsmviZmrIf/WpyrJCdFS3BvZAyXoR1s6gmE81OUuedlLX/4SmMFM2xt9yUU1MtB/DmOZMJmJv5s5cJJH21xEQGdLP7oolRmEIirhyEFvRnGbu9Mm8WZZwkB+kY42bNn9Ttm/F3L+kYrB0+LhfnhF67FthgEkYDvlOS7EbVNsVOOjNW9pBp6cEZHhhOUlF4m9SSrUoZKMJfaAmNCFTlSBmUneMyn6GlVG8pGl4eaaLIo77+URmvFKjJ0iSlJCjlBckYQZBFVaQpl+TaQO/VwfCUo+R1zQnA1tqDaFis5UDhWKRIUoRJ13SLsVNZ8jZZf+mAbLpaIxqW2MoU3F6c1MkjCboCRl4y46zUQSJio9JSg2qdNWt74VrnFVi1yhc7W2hFSuV7MrHtmyV+qs1ISNmhpKrQo+ta61a8VjqkItutiHQrV5g3TsZO/YWE5CFrOR5RxTGerYRTIUo5z9rFAt27zX+VP+pEezq8NqeVhrMvFsmaUkZc35Qdq+VLa0PScJc9tbry71tpP9bWZ3e9TYhtNiKkVoTCdXUiMa1rXWJB1dqVtd614Xu9nV7na5G80vwjVr0e3pcrpbXvOeF73pVe96+8pbvw4RiTwV7xJfxF773he/+dXvfhsjxr9Wc74Eha1vCezZ0hYYwcFN8IIV3GAGP9jBtyXtXwca4LUalL8Z1vCGOdzhui43OlABsIWli2EPnxjFKVZxehk7najIl8QV/OmKaVxjG9+Yw8OBcYwpuDAc/xjIQRYyQOtqMB4f9qfMEfKSmdxkJ5+ltUdWKxOfXGUrX3m7Ei3yjqXc48RiGcz+YRZzfsPbZSSTd8xpVvOasVtmMyO5vmyW85zp3Bwdvzm64TNDnfncZz9HpMJ4PvN7/1xoQzM5yoKGM6EP3WhHq/hSXFa0EpOcYdE+GtOF1rGkJ+3lg0Z4wW4B9aghXGpSn9rUqUb1qgEX307PN8msDi4rZa1qW9ca17fWda4bDBXovlq8Py3urhNpSF4T+9jJRvaylb3qOwMb1mjGb4szXW0+i5jT0JZxYpsNYkV2G9zMFne4yT3uCCVa23k2sbXZ3W4Wjzjd4qWyu+ldb+wOJ0XxtvCX7d1vf//VzfqG9br/XXCDu+XFAo9xpQ/ecIfvMdsKvyYuGf1wi1cb3xL+57GPL97xfmNb4xsnuMdJXm10hzzA8y75yh9tZJTzWOUsl3mfoRLxl0tX2jPX+ZwTfvMjc3znQU/zs32+cVwKHelhznjRpQz0pD+9ySdnOolzDnWr41jqU7cww6/e9Rr/Wus/j7nXyZ7jgId942OvLqnLjnSQo93MgGwmO0c9d7vfHe951/ve+T6unsM97p66LqvbPvOMgB3wXab43VXdd8c/HvKRl/zcE0KcxAuarYXXvHrffvk3O33zoedupD2vaK6LHvWDd3Xp8azniqce9na2POtNr/bY3z46Z6d94JWMe99HEPG7//zIf1/8EAVa+IK2vfGZ/z14Jx/Py2/+vvFFDH1gg376zR+O9aGN/ez/nujcn7Sev699l4u/0+Hrfflxn3X0f57f7Ie9+98P//XLP/Sbrr+2vXJ//Le95mxu/2JM+v7P6jpvAK8v/kTN3HTKAIcs+BLw1brmgBpwpCYPAzNQAzcwdf5OArUt1hiw3LTsAW0s/D4QBIEKnCzwmzjQBV8QBh3v/FAw3QqwBFmO/miw9vzvBmXuBHUQBBewB1fOA4Ew3rxvCDtu6YxQ4NQvCVkOAZlQ34TwCR0uB6Uw/aquChtO/7BQ4pBwCz8uAr3wCIkvDO2t+sgw5FzvDP8tCtWwCamwDa3txQQQDpWPB+cQ05bwDtfQDPX+sOXssA8x7/QA0dHScBBfTv1ezxDV7A0T8Qu9ohEdrQghcQ21cBLrDN8E0RInzaAYMROr7Ac7EeUqbQQRLBSL7PlIEeUGDMdOERZZUBYX6xFZsRVVMAb3KRZ3cRZ7kYMq0RYVUQ49jBeL0RePkTDGMBhLkQKRcbRS0c5WcRlvLgQhzRmNERsbcBOnEe2EDRShccWukBsj8Q/BMcjEcRw1DhPNEchGMR2LDgzZscbc8R3hcR3lccW2sR4BD5fyEB9PTB/3Ee4y7x9pDB0F8hIPqiAhTRoRcuoIciE7jB4d8iHvMSLJTBkpUusA6SI3rBY1ciMLsSPx6yBB8uaGcST+0QsYTZIf4ywl14v0WJL2XOQl2asLZZL14rEm720GcbL0QjAbK+oMP9In+VEhUywor1EpIaoki5LpTHEpKysMV9IpLw8icywqk1IrYScjqzLxrnIn6eomvVL4pissq0v3yHImLfIspaMp1XIjy7EtoYMq4ZL1+m8u3aou7fIuXTIvn2Mi+TInbfAvBwX5BNP6dLIw0eItEbMb2XIxEaMxHbMbPzEy2WIyKbMy/fEyseYwNZP7wLIzKeIzQVP8CDMvA9A0JVDYRjMi0nI1xc8sO5MPY3MAFXMnidI2Q9Myt/Ibky4zd9Mq5TK/fDMrG680hbP++m8rYe/wOFE5+3L+2MgtF6tz8jwTOqNTOtsyILWTBpsxG0VPN73z/URy2o7TOEktOMlzMI+yI9eTPdszJQMzPm/zgi5yL+vzNltzIbtTP40QNQ2xNv+TCfESH5OTQGmQJtlxPBOUNVFyDhvUQR+UM4cyPycUBc1TD+sQQ+9QQ4eyKzsUCA0UEMdSRNUwQB/QRE8URf2yCiWURRX06NoQPmP0/SD0/2rURtFPNB9QR3eUR3H0+y4USKVwusLTDemzSL2QI/krPa9RSZeUScnLGN2QSKXUC5mzONHzGhEUS/uQRMvPS78UTF2U+n6UTBMwRfMPTdNUTd0T/NrUTd/0N7tOTuf0NoW08DiTFE+5ETcBEFOys0+Z8EM1TzUHNR2bNPWiFFEh8U+hbkUbdRrDtPD8U1LHcU2D7k4v9TvN9Oo2lVMV1FOTDhFDVSDZ0OtA1VQVVE+JMERXdRlnEzjHFFan8VE9jlZr1VYh0+MYVVdjlQJdkEuDa/Z+FST1DE7R60l1q1iN1SSZUwOHNbd60lk10hXPa1mJS1VxMiAAADs=</t>
  </si>
  <si>
    <t>R0lGODlh9AH0AfcAAAskPxgjNhgtOz9LOGp0Pho3Sik8RyY7XQkgahYhaBctbRI3bwssdDU/cD1LVypIZztLcUZVRElgR11nR0dXYUVXd1toYm1tZ2J1anF6ZHF7eqQsBLcsBKA4BLY3BMwoCcg/B8oyCKBABKFLBLZBBLppBLl6BMlOCN9AHtZdEOJPHNBqDNRWNPdfOeZqI/htO9xuVHiBQnWEa7SmPNCSDdqGFOmGH+WUF9SqBOejF/aWLPmFPfilLfq0MerREOvbE/jRF/zeFezkEPviFfzCM/zPMuPQMercMOvkMpufRKmkRLy0SIWHapaWa4mUdJmidqendKiyere3cfymTfy1TOCQfL3CdM/CStHNQ9zGSOHQT+jcUffmTurlUs3EccLMcs/Pct7Qc9PYceHbcNTgbublb/joawgglA0tkB0ukQ83lR46mS0+iQourAs3ri9Jj0dMhEVhl1hmmF94m3RujB9EzVRexEdgx0Rq0Fd61GSK3HST3oaIgJaXgLSrjJKlouy6rLzAibvMjcvOi9LZi/TGhPzWjPvwmNT2tIyZ34Cn6Jq/4brC3tzi0Pz50ejs8/z+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H5BAQKAAAALAAAAAD0AfQBAAj+AIMIHEiwoMGDCBMqXMiwocOHECNKnEixosWLGDNq3Mixo8ePIEOKHEmypMmTKFOqXMmypcuXMGPKnEmzps2bOHPq3Mmzp8+fQIMKHUq0qNGjSJMqXcq0qdOnUKNKnUq1qtWrWLNq3cq1q9evYMOKHStzSBCzaM+qTct2rdu2cN/KjUt3rt26eO/qzct3r9++gP8KDkx4sOHCiA8rTsx4sePGgclKnky56xDIjzNj3qy5M+fPnkODHi26NOnTph1XXs26tevXsGPLnk27tu3buHPr3s27t+/fwIMLH068uPHjyJMrX868ufPn0KNLn069uvXr2LNr3869u/fv4MP+ix9Pvrz58+jTq1/Pvr379/CJo0VNP3X9+/bz49+vvz////7pFd+A1rEF4IEBIqhgggwu6GCDEC5I4IQUVmjhhRhmqOGGHHbo4YcghijiiCSWaOKJKKao4oostujiizDGKOOMNNZo44045qjjji3C9eCPEQYJ5JBCFknkkaEhhOSSRjbJ5JNORgnlaZdVaeWUUmaJ5ZZadsklkgeZxeOYM8Xl5Zlfoqlmmmyu2RmZcMYp55x01mnnnXjmqeeefPbp55+ABirooIQWauihiCaq6KKMNuroo5BGKumk3uF15aWYZqrpppx26umnoIYq6qiklmrqqaimquqqrLbq6qv+sF7mF6V28hXrrbjmquuuvPbq66/ABqurYLQWa+yxyCar7LLMNuvss9BGK+201FZr7bXYZqvtttx26+234IYr7rgpAtbmuW6iq2667CII0brwtitvvPTOO9io9tarb7787ovuQ7L62+/AAhdMsJOenmXwwgcz7HDDbyqUFrkUV2zxxRhnrPHGHHfs8ccghyzyyCSXbPLJKKes8sost1ytuRA/LHPMNM+c17s152yzzjzvTGrPQPsc9NDxAuzyeZEJrTTRTC/94NFQRy311FRXbfXVWGet9dZcd+3112CHLfbYZJdt9tlop622h4g53XSC5ga8VpWHyU0v3T5GaLf+ZnjXvdjeV7pFYV0GRWb0aPMRLpCYjA808V2JS2mp4I8v/ldbah1uV0FiPvZfpwpb+bbDmMPcF98TB36zrApnPp/lPgJun+h09W2g7a03buBcAeteN+G4Eya7pYDTLnhCnVt+Z+VYMZ9T8oUfbxH0IlFPkJmcm4e5ksRqjrz0mWf/kfUcOZ/6rN875Lz6ym9+PvawCxi97+Tf7Dj414cZ/vL7d5Q8+ZXpXP1wNi4A5s+A95MY/hLIwJq8DoEx2R4BD7jA8UXPWBAk4PpYk0GhALCDZNpgQzoowv1JsIEbgd8F9Uc98/VvhC9MIfNKSEHu0TB/gHqdS/4nNxy6cIf+rjseCRV4w4o0LoYozJ4A/dc+DoHQiBVUEuseGD/9pS944Rvg6VSHxO/tbm8UbOEM5RI6JVbReqILIs4qZ8DtiXCIRawUGUmSuCeyLn40/OClKFfGNfLxcZUDQuF6V7s7VnF+i7tdHe+It0Z+yoQ2ZCGmwmTI+z0xiZfMjgpZeJHzDUSQBAFlGi0ZxS4m0nj/a6IZS5c7JFIPlI4bnhpj2b891i50jiRkqOZoxcux8ZQrDAIscRhJ9ijOjBnRofd4yT2J9U16RxQmEaMZx08msoyp7CEwr2e8MOKSkVi0khCqNE5GvsVMH8QmGvtIy4VAb4mjLA/wxFdKd/ZSgez+g+cLh5nGH3KScb803wm5+UxSKlGAveOlIhFaPNDVEI/pnJs5WYlHeyIynu3Rpyol8s4uYtRosENgN4P5z4H6sJYxdB4/3xnPgjJkne786CkVCcX6aVOmTcxbJqlzzI5Ws5grDJxAhinNoiZQmwIpQvqISNKdIo9uDzUqN88ZRAmCkqgGwao1GyJIUeoSqi91nUlRCNYkEhSnSDNhNCnSxiGU8zJvZV1XQzlUqR4krmXNYELhCtOCXPWeEBWCQMbpV0oCULCprCsQrjpXoza2qLDsqmSlOVdYBm6ciN0qXa95zIPyNXRCCG05n1pP9Zglsz+NSGjdepa3bnWYRP3+a+HeKljCChaGcBXtbesKEa1ila+2FcgPhCnSzA1TsMPNqjAfa9fXqiW2vNVsEGorut1u1J7JYy518YrZ1Zb1rJWMz2nD+xHrupZz0GNuVsVU2/a2MpZiPKV1N8uQyC4Es4XtI1GTG90fmOUIIencX5Wq3MGedroIvh5mQWjAzBqYIKKN529NyR78phYiwxXTcPmLkNBSOCHUpef9agvf+Uq3ID/AbxA4TN/orla4QSgCWkaL4oMQeAjDPcJxRYsQAK9YIf5NsPU2nL75kpO1MJ7IbU2cZLeidabOhSxvZUvlKVtZyliucpavrOUuc/nLWw6zl8MMRSZvdswGITH+jM08kO062bYdXLBakjtfxAaZmEElcYrfHFNrAuG0bH7xcH0rEB//uCDd9bB/90yQ5LI2x25d7YKdPB85r/kgRO5ugvN7XAQLIcWLW3SSBw1j6Jk4wxeGjpYRkmHCbtoisGTzoRXsafx2983jPe+KD4xi6u2ZfJaVtDhbO11yEhS0lQyygHeN3N3+16hmufFddftiagsBCcNFQpurhG1hUxqzv3ZyoVnMYtbyGNQP8a+tX21NQzdWxQckrxw/PFgED5mATAYlixMJ50bjesGTNkty//wD2bIWlv5FArwH3VVjHxjeCV1xhCMsb3YP1rqXAfBcBX7fSL+Y39PdLrP+Aa7icnrY24UOpVZXvOdPnwXd0iNyyAnL4oarXKoeFp9ToTPEY19aIq4eCH+BUPNtb3rDG8bxySWu25c7Xarl3jVc6y1Zpf7g6liX+W0HzfWr/zjFSL86jq1pXVB2W9ArFuQRx7nY5f440av1b3UjfWCvU1pWBR9ucFnL8cJGFsBHsBLWaVtsBzda72MvNuf8++flFsHq4sY4MJdc7wRT3vKVv7zmM895zHt+85/vPOhHL/rSh/70pJ+IwDtab1liLsUuHyrrSM1eJPN20No2NUSFWMaCFzXxt33cn6eePMQOgbFtbrbtt5ncOxNc4pHndfIVZvDCX4m/zee1YAX+6ehFYxWrGdZs44UJYK/7nnGoLvtjx+9XUbZOsYvLuTfjg9y+b124l1zysouNBA1fRu5I5gN2xQWtBVaNg3XvZHyCdQS+J3tjZ3w+B3J0c1wAyEUet2+KNU7YBoDn9WY0ZjnBN1La9WptBz3uhoFqsVteNRAAVgRHAGDjxF/A1lzNNXwRZhA+Rnm3IxtqlnojAXNAKCbsdz3qhmnWBXP4d0cx+ANIwAVO+ISwR3OVJU0M+GNEN1ncF3JnEWuD9YRcYAZcUARqh2PoJwRXOHCUBXWLtYZWNoVvd2iwxYJfyAX9JwQ+IHgXp1sFB2Dm9mNieAQ+8GkMx1s0N1RreFX+LniFbqdvdoeGlrViTTiHBIhqEHZmfhZdiKaHrMZkr0NinuhpoPiJohiKpDiKpliKqHiKqpiKJ6VGD8eKq3iKbVaJwiVb+IdooDiLndODhcd/XdAFZUAGZLAFv6hwQydNQUaAV0KARUCARWVyx9dmTIgEW7AFZTAGY1AGTviI6sZa/YdGgSc3Y0g9MtZrHpZ4MOaE2DgG1mgGdfhxhadwQ4AE33iDR/B4QYBt33gZJZhbYqJUYlgQuTcQMuZ++XhyQihMYOeEWzAGhhAGZrAFXFBx1iQ6gAdi/adwEdZ8mWNkFEkZRxSSKGFeNhZjlRhkZlZnd4UWVweMXxAFSdD+BE/wBFZQBr/odTrmdUHghXQYiTzphfWIfkzYBVtgBUnwBE2QBFGQBWBIdMTGhFzwi07YBT/5hFLphEhwBD7JkFU5lV3gjgqnPJfBBVrgBVDQBDIpBWIgBv0nduY2j1EJhk0oabcFBFxwBFF5lbsViU2IBFQZhmbRdj9Ah13gl3Q4BFyQbXnpl8YodMcHlWTgBTCJllDgBVHJgAgElV9Ile6YmJ/0f3H5i39ZOShIN7ImFrpHiysBQI8XjURoYtRjYiTmZD8AjFYQAxLwAA4gARIgA1EwBmbwgp95BF1gBFsQBmOgBcNIBmKAnGGgBck5BmDAjvSYc1eHBGbwBVD+gJsO8AAUYAFNAAZlkJWRFgRaiQVdIIyEIAbSGQbuKZ1ryZ5isAVaQIxbgJ7sOZ3uiZzYyJ5jEAZiQAbo6WOP2YRkEAUxYAEU4AAU0JtRYJNcQHR0V43CWKFIQAaSVmhkGYwVipl3aATKiQXCWAb0OZGOcwT1yZ71aQRtmZX9KQZdgAVZGW5QuQVSIAMTwKAOMAFMIAVjUJjfJVxC8IJYsJZgQAhhAAZaYGgIlpUBypxkUAZa2Vfb1Hr2dqWZlaUpuKUH1qVYyqVf6qVaKqZgOqZKhouVOJthuqZmqqUMMVxFgAM4oFQIR5K7dXkMIQRdMAZPYAEHsACAygAKcAD+FAAFYeCMf3ZteqoEaNkEfeAEkBqpkgqpaKkEQCpwSFAGX8AEFPAADMAAarAAChABGCAF7rhaeHkFMTmprBqpfACpSVCTS5AEkPqoTmCrreoETcAEW5BI/pWeSWABDZAADIAGoVoAE/AEh6pjC9YFS4CWj/oETjADW3AE+IWiSUCrlJoELEqcjCqtt8oHTDADXRB4KYYEWJAETNAElGqp9EgG6uqoupoEMop4n8YFYpAEEgABCpAAaZAGCWAAFNAEY3CX7FRbMbqqteoETJAEW1AEeqeBWACtr5qUW4BtSfZqbXGaUfGJ9YZcQnenaGoSoxiySUUDJkBgs1h59gT+gSy3YnsqBRGgAAqABmjQBmhwBmlAqEtgCDkYWkgwBgQwAAMABw0ABxCQtEqbtG9QAUk7ADFwsayFl2HABw6gAGdws22AswtgABcgBhN5r1swAwMQAQ4AAU3btEu7tA9QAQ8gAUmACDEwALlZAW/wBm0LAXabtkpbtlnQq241mF0QBRJwAAxwBmewtaG6ABLgBwXbckdgBkwwAA4AB3DgAFBbrUE2mFdAtBBwuQMwAVdAh1gwtEhruZgbA2OgkddmBZRrtKl7segqARGAuqE7uoGHYEdQBlAwAYZ7s4j7rwJAAVFABt/omJDYBTI7AE4LB29AAaEbBtVagM5qtqf+OwAEkAXOOE3Zk3rea3rfi3rgO76zqJKO2UKvZmTiu76U57L7Q1hFcAMlMAI5UI73dUh49me7+wUY0K9u0Ab/C8BtALAXYJnheG0XOgABkAAMfAYJgAbF+qkQ/KmfmgASwJZjtwWG4AcVgAA36wYgvLVtwAAPwARk0AWC9YVJIAACQMEUbLMQHMMQvAAAYABPILcCUAAeXKxqEMEQfAYUnAABYABLoIyh1QVW0L9ZK8Ag7AaCqgFeMAa5OwSRGwMLnABADAATEAbkeRZIsAQGAAAPfAYAMABLUJhioMAKgABZy8ARAAYa6ZdWEAABALBoEAASYLxd8AUGEAAKALD+CTAAUtAFUUicXoABBWCzIizCDLAAE/AF5SpWOcYFTRAALfypQIwAAgAGgBlpXaAEAuCvDhzI2qtVsJlqR+Gma6aS67NEHMtRChNcZsh9TlYENUAC9Lu9K6tmuMhryZNwhyADC6AGabC1Tby1aXAGBeAEBRvL6TkADFDMxbzIbnCzarDICiABP/pjZjAIF5AATRzCAFzNC1AAVlCYSOADZvAEBsAAAbzIIvzOAFzONxwDBXDN/xvO8oyzPSwAfqCM+VgGTpDI+azPbpAGCuAEh6CV2TYGTOCvIpwAEyDFBMEFYGys/6sABgDJexoBDGDMZ+AGCdAAX0AGi6a8BaD+AMisABagx3ystW2g0YNMTkdwCH0AABgNzyAMqE4wnmSoePloBn0QAB8swmggAIFQrrnFBVJwAP+6tRodBjE2dbOGQmq2sRUVfG6h1XXB1VvqF17ty5vDsuLDhSubWGiaFmEtZFttUM4nSKHFBT2wAh5AAvWbsdyTko32Z10gCBIA0+MMzwxgAYFAgIS1BYTgAIAd2McszmhgAdILiRvcACF9zMYcwAwgA8ZLxVvQBAeAz/Gcz/AMwGpQAH+ACBiwADBt0PucBkhtCIO1xxaQAMas0wCcABQwCIWZY2MgA38c0ZAtnCtmoweABu9sAF5QjWMwAB/8v3VwBgcQBUr+bQSDm8jG/NjBiMROLcI7m9QKI8cWgACBrdNOPACQfIdzxlpjwAe0PdoJ8KBKxVqD+9tbiwYOcKhpRtbvtxXzxV9lV3y4KLIWlxHmmz85cAK43ANFxWEyiKaSN3C76wTDTM0CvLXPXQBMIMVjdwSJvdjjLc71XQGEkJiDGQbfXNmjHcJq4ABJ/QNHsAV9oNL7TOEBDMKm3Qgy8NGXPc4gjs1SQOKZygQHENIVPt5bewA9nbu7m+PxfAYWMAYFobzFLcJrcABJjdiKLc9nwAZQIKUrVgaBULNG3dJyfADwbOW9qr9l0AT3bOSX7QZqAABJXn9TWwZ0kLju/QRSKmP+btUFfrDd9d0AYXCP+i0+zkaKW3rViP6KJcvoIMiKic7Wq3i/waRXkR7pWu2xAD5r3CdY8SsCJHACRHBo0rdpZlbqgnQEYCABCDDNbx7PbYAAEgAGVWiXZfAA10zjIdzjT96rtekHw2rkM57Quw3jaTDjox3aC/AHjYABWlvj+jzaClDYgoSvEoDn+yzPsk4I/RfQvh3Pj03RhUbcRW7lRDkGFIDi3C0DUuriXBAIC8DEaCAHq9vXB/DO0E3tGTcGs13b5P2/sv4FE6l2uxa0FpC4dQDPZ+AEYsCHv+oHKr3Igu6M6EtMO7cUWndipj5ipXUR/i10QUAEdE0CJkD+BOX4aQjk1Qz0gjbaztRs2SIM3Q9qrlxACBSQ4qLd2Dgb3AH90M1N4RWOBhRgvNTYB66e7P6ezwrA7HPg4eFc5FD941e3zg0A60hfBwjwANJtBOZZBjle0GdwAWPgggNB7u/8AFc+BlkuznXAABgwnoK0BYEgAPL+5HLMBkzcBlZudUFgowKQzD1u2wXwBGZwZxIXtA7g6u+MBhlABjomK35O31vbAOJunZIXTeqr1Y+eRWyd1+0j1p7P+Zof+iwmm5s2Vh87N7z81YfOsSgfYz2A4CSgA2LIXiC/+fktfYO5BUIO2OIsz26gAG+PbXY5Bp5K43kv2o99qEwoBhH+gAAJv+uwftzSHblGn+zvLNrGnAZ+0AhN7+9Af+b/HNAa0N4pnvQAkAGHgAXm2QXCDPZPvr0vbgVmXtvmjtjp3uNoEAEkKhBmEAUAsaCNm4Fn5Izp0sXKgYFtHBoIxOVIECRlZCRI09DhRocEBybgM8bHECFBSh5BIqZBxjoa26AhQOYIEJJBuvhp0JBgA0JcgvwECrRk0CFCgRYdGtSkUqNMlyINUtRpUqUloUplSjWo1adLq/78gVXr0ahdh57NSrTs2J9Yg/7QWtIqkCI6SNztQQRqWKdkoTb9eXKMhQQeOR7uyCACISQ/t5BxgAaxYZ1u3KCRQKjIkC5SDpz+IWh5o2iXCJyUQWKoT5qMiEcfdpOmTyM6kju+vs1RQCAkP7qAcXCmpWudA9FEGGMECJItMhh4vGxhDJCJUbd4fv1AUJctYyK7rHNmQM8fQMwEEjiQoPQjCh+4NGCFC5AgRwhNwJgbN8HwcMIcGQIrib4w4AzXMCPDJ75uUkA0gtgYozohqHKrqACHsrCstTS8MCquOqxJKhGXsurDELnikEQPywIRxRFHpEoIkuDaakSv+pqqrQBZbOupDK26SqmwJtyRCBs28KCEHjh0K7CofuxRRKyO4GKQBoTjiDL9FrCijPK6+4641yxDwwJCUCrjCQRGC62jNh06QwIyuOv+I6csJ6PsgEQamaM14t4kaDcufuDCMwPxRCyNAwLZYiKLFBjtDOnq+4lKzxxsA6IttiAEDsm0LEC+ibiIAtLQzoijjC26CMTOjQ6wYov6uvjiAD8pe3MjBfzgAiuaOvtsv+O+6IKmksrwgyHDGhijMQ2D4KvJF73aEUobM+yRxSCx5TFbC7d9ltsXwY1LRhnFcrLCHdECjCyzeAT3r7GILAmIHk7wwAMbitisqB+cinfDJo8YAwoF/LxTPzcYcIKM+rjwLmGXXiszjC2KIAODBt3ElDQ4tTNDiz5M5Vjihg6YTQPbtLwtNIIOkKKLI8pwAtLJiuNINjOOmFkGm43+mxSoI7YIhCGOHgiEO0OC89ihAp7wqQguki1OOiQUMnojiCRq74mDsbz5sDOYMOOHf3+62utbjxZjC74I9WPjhtgQw9kJ04X3yby5+lDvarv6G0N4rf12w7wD9xvKw3cM7O6z/yXyKqmScisuJ8PNm8ekUITWpAmFAAIIHjwIgYQeiniySRUFPhys+ixKQMzc+ENwJojDxA02gsocRCJCKECjzaabbkOBP8pIswD1lscVOjcW+KMRlbOETj3LRCsgZoIvQGA40q7HuY00LjBD5i5ksA3oCKsLYgsr0nuV0S3C8HT5jhRgooyHA7GZIEnnZJWr2nAGmM2nZ4URE/H+JBWhn9Ckaz+bmAG+sAWahOUmytpIA8LQm8sZzlvUStHe8Jahv7SuhPJKEQk9iMJpCU5F5rLc30oIwr6oEEYi1FG3ekQkutjAAyQ4Ab+gJaO0dMtaegNKF8YgAQROTEuGgUBPgMAFQkQGU7JbTxi4sIVBYLB61LsNGphAhuQxD3xsup4bCvAHRGBADRwzjPBEsxvuDIICa2Ke/bSEhgqUoQtIIMNFRlOmMQDlB5bKmkMWtcWlgQZXDMiAGYowxSgoryFoSNXVrGAnjyxKVo+xAAPQeCctNcALPqHPEGbGhJ/hKntuIwln/CAQw7xBDD650Y1IqEIMkeuDivMb63r+GcLCBYly2BqXCJt0rgaCZXKD0yG0IFcTHbowSMHk3Nk+NwQgECEFIPBADYjgkwAxTpfaOmeTfDMIA0wsYVpSgBR2RjArhk9MmdmCGZ5AS3fuxyFlIgMZvAYod7rsedGTAfyIVxmCKCAQqipa8MCHK414BAJfQAIg0TdIC2wQQI6RAj8dgrSLdepThznOGLjgA6L1bz0IcR8GHSIAL1yMigZI30Lz2IYD+KELQaDP6zAAv4k9jQtFIOIFXcIs9snFXeh0EeAWxzpsdktwu9Qb36JU1WK+C5kaMhc3QxcVuNzwmepMywy7WtUdBgUI2yxCD0gAAhLwAHVtYYtWpeT+Qbl0IQpG0ylx0gAFm1ZxpwlUAwXKMAaLPIdl1GvTGSogCDL8YQGAEp4eD9rGN7LpZh5x6BjIYDCJtsF7uuMIzP5Yhul1hJBBaY8U3nObA9R0C0tb2WEeYLEitNRNqEINq9hwmEUOzQqWtB8YhTdYWYVuCIDEQG6rt4AnFLIm1xnusm6Jo3Axbq2KwxblkCjeqCqOXTYE4VU7+FVgMhOok0TntLr1L6n862xf9cowz4mjDtUlXyc4nTM3p5a9zjApM+tD1lh2qEQ1YQxFsA/T7HkgM5mBEHN4owINlEaOQICyf1DAcMCIJ+ghYg5EfWykBOAHMvaBDTml6E4V8IT+P5JBAxvbnXRkValCJdINBxDEpqqIsKMxSmr8c9ACrxaI2cZPIlvYp/Ue+z3LKMAJjUrlEcgggdy2jGHT2dEW4oYppjozv+7q6jB5uV6jFJjATblW6wx3RMShkCxEDF0RiEATooD3zNzVagipxa2xlFXPK8iXC1CHumkaMpeMO+bAmhO75J6BDW84WO7SkIEIFQG3hxWbQxgwAUKMAQz1U+AArceRBUiBECCOo8lGcwA2DnWUf1LDopCnAUq7hsEtawMkVcXanKKBDmGgFEhl+mP54faJPIWCGYxANFr6Tw5kWLJIz9AA7Y2BD6L8IpwgW2UNdHozSCBEBYKXXIL+MEAGheSLmGXahgcQ4i2qyxZ3t+Iktujb3x/EUb//3Re+rIguPTDBks7WrqcMhc+OBrQHI37votzLAye4AepSWcJ+D/grhxyMKFt2BgXIgQ9zGC5u0tBRKkXMeZQx0KHQAAA5jaGLhzLMGc7AmjRs2CXURcQTEoCGXxdHS7lmY2vFpnOmo8HpCAjAQwlhgXWLjTUGEvH1Rj3sG4exo7j8ARKOsJDsBJmKDiCyaBbgBEMUwQyVrBpMN0nciBhhDBcAt/DOgIYX4zyNC5wPtJAgCAqsGqVzePCOzEC1NvHEJxORllraerm+/QXfM/zzszT/Lqe+2YXn5W+T9EyDEtD+oAgL11Hl3PKvoKLLQ1ghdC6NgucLDaEIPADnCewK1Kz+e5fPrNQYgGfQl1AgCoJgBAZa8yYK8LYRA8CZZRiwgAMsIA1OV8ACDEAAMZRBCrH7oqXpQAc4ZCRXsmlEEwSAkQQkQOdShtMZMAL1JkhPoQ5RwxpslQYFNOAA/zcAA1iCMUi3NNCSnZMDOqiAtBsgChgDLSA26DiDC0C2j2of7Ji1ZsOd3FCDd9uCqSkA0jAIbCOanDAMTyIYCnCsLCm5OZCDW7keNPCPRhkCQhGEB/gUliGkfhkaxssgBuogpbARf9MK11MdInIRF5o9f8M3hltCdoG42ysBESiBu9r+NyE0F9cpjyb8CiGUuHxzpiKoAQ4AgRWgD/rIwoGzHA0hlDCAgKoTjQNwAkI4BETwAzYADY1IAwfgrTJogPRxiDdwQQywgEI0RAyYgBjYAmTBI/thAw1gBEHggzdwk41AAxloBCgYAAdogE7MLv1gg05sgAEYAChohI3SiDqQAwy4gAm4gAswRAu4AALIgjEYgz/ElQSQAz8QhD94w1jLlFIjAz5AIMtYoPqYCEQqjgMYhA+sIkDUCDW4AEPYFPTwGAuYE/dJufjpgirBxerhoz/oRThwJAdJAwgAg5/6ic54gHC7jQqIkDDzwZ2wt3Ypwg25R7cwlnzjnCH0Eaf+6jy1uMcXAkOw8jf6aiAxFIERMAEh8kKBZBJzYov7irwaaiBusj1v2gAQyDiiQD3XuRGBUwot8AJc1IkzgIBAOIRFnLqV8QhT2hRDeA/DUIM9WARBwMlA0ElBCAQrsIIr6I4mQADik6xAQIRDaAQMyLuNmEBCsIIYYAImyAAmmMRYewM+4AMmkIGoXAJCyIB184g4WAQr+AIp8AIpCAQvCAQo8IIlyCdCMEHi+gOkJIRvcw2IsEUNMED1IKTAUzY28aTbqifPUgMz2aJAUB6PAK4lazJFkh92kijFNB46rMvS4ogGsIKdoQhSuax+cogK0KKzMQQfdAgI0CIJ6cL+pxo4wFBCvFm4q+i3yBPJy1Ed2Os917G9HliBDhiBGpCaoApCoTCnotgMgOmLktAmwxkLrKACEggB3eM3gmNDLjSzC1QW0igTQugCI5gZPlg+j9CUswNE6iIE5MmnfPKjLjADJICYi8gw9TiDOSQDLCiDKPhFjpCU8tQCLBiDMCCERpAD2JgDRgADMOjPLDAEQ5CB5RugOSjPhOACajxPSapGBai6mLuARuCOMhiEBSi6NggAPzCDMdCA9CCTjiqKiQACheCnl2lGTokAaOQIBxgEagwp+7GaEqQ77ggEATijAaoAOiwDRBAEchSxgYAZMziXMdgn54ENDWK0HvT+ojagm6YyJNtEr84BSS29myvFvC1Nl2sywiK6syLyuC/9ibjClxHQAX6pyC48m0kaq+jU0uBUTaWgCQupi7k6ASIwiRrU0o/cPEcLSLCQt4lBAyeQth8wgrfbRtF4ACnQgrM7DAWAgkNIEADhgl7hAvbcorsjmYZYgCg4BLgIqFCCOTgYhOAqnzKQHjhsAz5oBDPgAvU0A0MYg6+8jTPAAET4IyQYgk2ViE1VpTEolYmZsTJAie4bvkr1A1vMADwMDTS4ACCsj+tQMGb7wDAYTNxIycPUtkxilURqgwIIMjFTADWgjEs8BJnZgkOwgDzkiHhS1qLogoHyTDeASWf+ebt5M01cejSmcD3ZQ70uPQoMoREwhcjUhLOFddiGdaH7CoI99YAU6AGAlT3gpAr6yIEb8FPgJNiAW8KqCAsx3EhFGxLes8iygrjjDAImNRXFZIMoUFKS4NDyIy4oaA/DMowEeAJlhZbJYSYjmLpWIggKSEe4QAJE4IOhpAwa3QIkEIKMWkT0ybkM8KOwO4Ii0IIwyADz858LwLYurQ6zqQ8zaAJwK7LtFAIjeBTY8Nm8bFElCwqsyRJY2ZQxiNEUe4Ao8KNSiSxs5A4r2EZFsgIl8pqK2ja/NQJGPQQnECmHGCwlFYLu7EzisYw1YJQ0PdTLFAMrBYw1Q6vZM9j+oA1afwkQ1jMn4yQvMjVOhmUvDRmJICCCFQCnhmQ04HOr+krTIiiBEcgB4IylbbpTQZ0csSgJIjiBuWpTuBgKKyxY+vIXQRUvJBgDJiCyNmgAYpGRH+gOCug5j1ADAYCCP6qiM5oxmQmvsPiXLmhJNmEADFDWCWGOKBAAxFiULqi9ilAZw0ADrK0On4CYDICgBNCAuunezuneGjSDGFjBjXAAYnHeNIEgye2DMiAE5wAfPmqWI/gXLbvRWaspLuDWqkMMBvgDMyADxMyNOIjaADqMAggEW6yZ5HIAQtiCCZmZKMgu6LAy1Ai7MvhKl4ENKuWVSkGWKYUQ9hHYh2T+w4BjWdUtp+kFqlSqUye2SAo5M9cTrxHSvH/hAirAF46EL3x0HT6jkR/gl3sZgY4MKmZaQ43dHBfK0yCQq4uzq7CQCtRJXaBK2b/BEfqa2jHwGcRAWi7o3u64gADoOewTgCTY1PMlDUstgwmhCTSUiuUghBh9DYYpmwvRAs/IKZ5iFGd5nf51LQB2HYxBRYcwYGwzWyBwXodrrDhCAwoY23UsGi1BAD7A4G+LrIMog07dVDKIgiYjiAewLeEzYZSSAeQJBLV9iRwtmhhOGm9r5lvGtgBpj4UouksE4iEogwuQrqwTHygA2vb5K93qCScpWL+wM0H1nBoMqrfKQj3+hjArTtgcUU4s5ud/Bqa2UOMbcE4QOB0+Q4t9/lNAndgauIsbeLh3ccIvZJy3sj2C9gAX2LM/jbgd8YGkkOeysF5d9bpmKactSoIIiAAKgIAKoIABmIEPFIMHUFfQeoLyaQwAiaXOOYJBwJ0qgxptIpoNLB4/0J+2mBkNELl/kgHNBIsBJqozyADGOInnyihAXUSlXFf57Y1fucFv1oDy1GA3aAmDaATk4YIRRYRAWINfq62S2lviUAP5XWEPNQyrKQPCzQ1dG0Zpfgn59WC0+QII0A93A+KKUDfrqYPTEp8naJSfSOLiKDM7dWKBQz36sEJuGolU4hdcupBCXU3+Li7I9CLTDGHfIkC0iv3YqpgXrNCzEugAACsnkUwKjQ1YoOAz3w0BDsg4PgPUGUlTywvahF045BRpMKC610gDDdiZWAq7K1ACKHgC6YaCJMCCZXWAmpbc4/GjLarVTUUC+jgCQRjMZE6azhmC+QHf4jCenzob/oXD/y2D4kTiVh6gXiUDM6BVWu1GYAWCRSQAaFw7IA6LLQCDCkCM/xWthGphRgiEQYDwQOjFNaA7qdlkdTWZCggo9PA6EqxmjdA1MdAAR9oINcifmVjHMUBwso5BrHWbLggDdQOfOrCDlknUQpqVdb4NCAm8NfylgSuPPAsCVEpIPcsLIVoXysP+m77xODPlLsvjFqBQXtJRNJA13bhwbR4YASDSOCTivTeWPcoWgrOhiykYY7ui78ZhvcAoCvoYkjQ8TiQAg2ZtCAXoA2kb7ufSsi4IqO6e2N+xzDWQVUIQA1MbAzHYT4nw3hsc5XoDEGM5AkMg5zdhgJ9VCtZ6jlROZ7QhAwJ2iPA4gzkQhFILA/8ULTLQ2iIoAy47DOoqA1WKCvtIbo6AJDEIpAYxjDSQg1i0gDmIA8RoAEaBmLhWGHoTBEQ41o4ArpmZOxDfDjKYA7UliDVA5yMYCZ4ZAzkoOga4gJ4YGiuJzDa4gxo/yWfWab/yVzDApXmRPKcQVNbD7IklAiL+4Jc11gEbsIEayIHT8Zcunc0n/8LJo863oIscIIGLyzgLZLjOKw8xJIHe3DMf0GPcVlmDtW0ffy8dIJ0U8NMGMpbPqWKKl+XaM26BFgoksKNmnjEz8AHeO4KpvZqMuppN7S3vaOY52AMneAIn4HmdT4IrMKDj6izRcAA/wshiHXGXYBiZEZoI1PTqSNFAgsY3+AM+cII+6IOeTwIloJIi2ORmLoAo+COkLoNZr/MLWKwSrSg0SAM24D9FSYO2rsS3BpPACrYuWYT7nVarGde9DgQyGAMMKLoFmOHwTtFxBj++lI5B2QIvOIAcFPc9qERqVZV1jAIT3YkNmug+84r+d7+RseICIrgBj40rHrCBFTiB1C8Bj1XZdKLNPxPJKN+3z1sK+qILhw6BFQgwrEjOY/IKItjyEdg9Nncr4aztzcdtInCBg98XighukjgXuujdu4L+EDlOLviCbi1qMBNvk8ioqZ1aD/5vZ+OIOmhpCGhpB3CACIDpRuGCD+eIzFAQk8gnVnoNBXhmEamIIdZ0jE1qCAIIN2veVHgDAQ4cCA4GxDByhIuYCGjctKnYxoCgLkiCFBkSpMyFBBTbUFRgYUwZDQoskjzjEs0ZmC4tjmwQaAsXQhJHjmTJ4AmiKCstnpFDBkmXQAcqjjwQpcwYORNJVjwgaMsRIEGC/Cj+QydBGp4KLozBakbKgTMkKeJJhIZqGzQSDnUUUiZKA5Zt3ow5slXI1sBBAG/16FEwYcF/BwcB4rFIjhIlplCxseIEiBAhSJBIcYNIxx+FDy9WbHoxYMKkGas+zVjxkCFFiqzwQGJFkSCxE5dGHBgyiQ4lQHPRPYS31r/HTacWfLw5ECIpQJDQwXWI6MBCtgt5XKRHj9zKuxNOnF0IEisPplo8EIjLEY9cgCCpXx/9DyQ/gGwZ44C9TwwwcAYCYAXAhBlHbBFFAT1RZEEZG2V3RBl9MKCXAjKUEZ9oFMrwFlNoZLAhaRRqkAZTa8U14BkJJIBAAARggcQWYPzX00X+X9RXnG5lxACWRWkIMEEYhmigBks4MkVRHUu2ccAgRfTnAJJO0sSADEEtQFMbJyEVCBspPhlIF2NUACJVD1zlV3ZbMJEAmmgMGUZxZkChAIpu6DlHInlShIYDY3AhWhdRbEkRRQ/QWdhW2Z0W22umiZbacofV0IEHL8BwwggkhPCBZpuVEB5zujn3WmurKdbcqYl5xBujun1Hggcn6JAbdqrC2ihHRZhgWw2zzabqVslxV6x2pkHanUc9nBDCCT1wsd0QfmnFnRBczJaDDTX0oN1zkPa2VRdW3MgSlFsgewQSXLRrHxJDbFQEIQMASBRLaaQRQBMJchHFAUpiMMb+Ro3lZ0YTCziIwIh+6XaEGRmg6QYaMmgk2BFjZDAUohWpdQaKbaSRgARY5bReT2gMQEgX1RbWRQwCuJiAAgkEMEEWjZyoV5NJ6qXnmIb0R8FUQMMVlwWNGMrSGXFsmNRSPbk3hhgVhJzmIFuQRiMTAchMoAIBDIAVxEwstZYbejDy1khqNEDIfEIUGnCKDRDsWqSqqqrVYa8+t58JHISAAgggePDpB6CGYJsNsyVrnGGvrVbeqXobFxixsR1G2A9F6FB4tOI5hmxqsGpVBBEneADCFFugjoN4sZpKHrGJwbpdEDlQt0IP4ZJ2HKRE3HBCCSPcUAQQjpHnW2A/DMH+RSAGUNUUIfFx1S4XXXRRBhdlbG8GfFwY4gADDiZptAJ9CHoXA2uwpIYMYwyRnGN2bkkTAheUgTmFEtMk4oYwNgYNgEhJemmDAiaghS3UyABGa8MZHkCGLgjBMT54XhIiQIEKwKECEWBIFsxAh4kd8IFico+U/KMGnhjQAYRYxP2ocpIubEEQZ2uKFMhgJp89AAxaw45uuDCDAUQAAhV4AAUYUoQjFKEMb5oIRdSgAUYciikCIIS6HhKFMLHkDWKQUGlwh7nLRapVz8FWEVLggcR9gAOF+1SoQLABF4BmdrqxHaP6FqvIuYaPzQHMqyS1lSLYwAMeSEHsnOeo5TT+j36eo1UKKMODGtQAB1y5I+6cR61dMSaQl3ReEGpgyBoQQXPAc9hveFCCDXBgAysgwugAKcjDdEEKBihaRVwYHyD8gAtY+AIYgGkFLxDzC0ZwHSHOdcADJqAJG9rCExrEkoptQT/ImluK3MAA/c1nKxAj4P9GVLBipWQoR1vmGSZQli18QXopiwDLDOM8LiwhCU1oQh/6cM8Z9Aecy+TSMhuQNS6EgQI00ZOS1LSIAujlJAwEk5geEAgygAEOVSIJoL4Yr+Rs4QpMSIITnNCHJzSBn0HYQhk29r49MOIBSSrATbbyrxgmik6OYg1sTKXH7CiPkZscgrMGl7jFrU7+BSpIwQlOsIET5CB2psopHzsZOUDKclmlyZxHspOd2agRBI1z6qpeoxXRRMcFh3vBFGqQghGMIFjG+QGz7ljGmypGNHDlSAlopYNCII9vQnAUEL6T19WRYFSjI815tCOaLUiBoTgKlF/kdYQYTGACFrgsZieQBC5MiT1KeqACnMnAP9DNImhwghaA2Jgh1LKKFUGDlwLDBY0pgCciSlDzMrazf+rlDBYIAwMHIb1pUsB7hNHKEY6gBTEQIgxhGMMCUQpOhJbws1XxAgMJQbSO1aFnTHkAIxZKk6YRDGpiKoAgygAGCFytIhQYhH48glwGimEMhKhvX/zSHwuUz7T+fxDEG9CEQClk8V83rAgEvngqMo6xwbApD3dk87kPoGCoKVjBDnSgYRuYlQTHw1tVy8io1oRVpya2I6+QNavV3WpvmMtcEKiQAs20wAWcIYEITFBKuG6yMNBhHmP2c5jvdGoEVCACD3LQg1JeMnmouwGtBOcBwwqGrrDqgh8c2xMKjKELXFHQBAxgADzpqwEHEEAMsmvQfyJ0JKF95p30goYmkEExD5FCXmyrzvlgx0MTAyAqg2CiGMKlzaalANy2ED05WwBuJmZXF7jABTPgBD404kP5OlbCoyHqANgtwviOVgc86OUAi1iEAKbXpQluwQp5gQtMyzAICOAIDRX++KJ8kfsQ7XXBDJGGz0kJUYEz9IQBf2gEHI72k/1p8WxUYYMYeJQs3kRVxMy7IBJQtwLEgSoFNeABeI5MBR2cQARuveSjJFepyLF7N3l86rhcE9gbGDJaeBvNapznOcShAAW2ARYRGhNXHySPkfculriKAGUSuGAKU3DBClaQA741Bghc0MFgNcOBVyYPWcl5HGAY61iiFNdhXNDCBGQGkwS4ZF8Z2IIZkgmgjrW5JE7g3hZIqxcGNCG5gm7UFrzgWpGdpFoeydiHwhlAwjRxtwYE2kgmgEUtCFdMsIUbKLlicXlx5Oft6oIMMm1ALvHkumouYBvwgIeLtsHYMIT+C2zLGwiXoiu96/WZBKp31w6xKz59D4yCCAEBAafBD404E/6cAL5eLq1jCbZmWKk9RsDcVIxa50IPbJAZNnqmB4EVlrY3UAKwHrz0pk+VqejaqxIY8pWDUVV2SJO8SRWhBhxIHArgeJvjAYF2kHIMdji5mNFxRduc2cEOzLq6GlA8sFQQ5VJbEAJXBlwrHY98o8wgFFW3QQIBDEIXxCABc7Ikf2UoQzKJPXbqxuXmCopzypqgtdgHgQt4XpIb0hmhRnE26SnKAG4BXkoR2vl0jG9hUavdUkNh0VM5zF3BBhnIgMKw3888UFMMVKj1RB3sQZVQxBnowdshSlEchaL+3RBFxNogVICYqMGtjRNyaU5icMFhbMEgOFtFpIEUNEIcsA1GaUAZqEstRY1FNEC0MQ+M3RsgkQbqfI5QhUAKgJtgLJFs2IAIjJ7pnV6kyFIf4c1WOYttfFhviEZWFUvHxUZQVZiFrQAUEh9HaEtHeFJiSYpoFAEVnIAbId8afcAh9c6QkdsGgADyGQ5uBIb1wQZicUGWHY1vkYFfKIj4TSDaVIQGsIzgnRNvzRnO/cFKxF81eRN2cIEXmCDFxNYllUHSIQqgMUrTod2mWYQEdFm52GBcyAH3sCHfyFfzIIEpit3YiYmKGAB2bcH4EJtFxIEivMH/zEEIylB5WQH+FzXFRIkBMr5PBfQFXW0EpEwKdvxAFwgCoaWBTTQCBkzMNgmKFh3KSDxeqRxhpIhhc+zHbEwBCwhO7nkGLGlOfKBHENjACAxHieFUIP3RuLDKcuyKFvIKWckGD3BG6Bgc5gAGL5Fh/QHH4HwKCKTADvAAaCDPIBEBeNSRGGbdvfkAR0xBZqDAC6jA7VkkqWgFEdQGwzmc6nxYYrBh3vyA9tVWT5yB97HJERCCBEDRQbXBHExQMnFfK2KigjxBnoSI/AmcIoHiM2KUl3REECDBGPjfawFgoHkI+bViRTTaFnSBFwyXaTVacTjkU92iLmpAFfXiZ7mBAWSNMELA0bz+wSK8gVpQxR0sQqZ5jAVMULnQXXsEgqypIDX2Ra783GucBy1lmdGcQQOAgSlOzAEu0VkIIUWwQRgUjORVjuyUyulUxu1VmFdJy3hwx8WRwAjkhqtYG96QxmuWiuRIimoR0uog0mloo8f1ShHwwAqQQGasjgvowEZ+3GxMksQ5DrFIyl/N4Q58CgqoQAjQo2bwQGNwBLl1QAroABVMAWdgJ/BkZ041j/aNHGAG0EMA5b3oCRoMDBkImy/6jEUsgDPRCPyZVhNoQXHAFXYUQSha3UkMCnboolZSjIZE1pelBA/yFmBWT7kYADFS5Q+i2MchBtKxTS/OZ0UYwE0I43/+0ARe4gHa1YEiIEnHOM0RmBdcuAcZiIFdwkUaVKP1IGFidAEUfCMEDEIZOMGFrAWgAJeC+IE7WUSCeZmuKAuQLQZPzcYOgAAbQQup8Nh+8NgQ6EBh3eNisNtVac4/nli8Pc7vFAZtuNEKFId5JMthONl3WIZKGs4J2MCSWeUSTWQOrAB1kBKu3FTlFcZWuYB0Ls4JUGd1fthsXAoJ1AAVjFutEMGgdIdruApO+sEmHtr3zZYFQB3aoAEdkEFOKBObVcQCOIFG5BwXUcWcpdZgdMdDKEUkxl3B5EdWmhPFjEiseAgB8tYB1seivQ+EqItarqlgDFCDwuUBzSUDhcH+4IloI8yBWozEGiiCpnWJ3B3YmBym+fyWhHDSD2jSYfSoTnrMrZWBJo6XA9DlWaBnG7zNtpZeVHEOtgxSD6RAaYLKcMyPcYzVduAmCQScEfaGbIbpkk5beSrSVqSOG+nAtDSPb8TG6QhPDaiOZoDAChhnbkSWagFnZnDACJCKaqke5szhSzZhCtjADhwOCfDA5/FAuY3ArVDBCowAbpwREvJfFKRaylAAGRQYGATlMqGBD3bBUSLl9IyEfUbIFsDfSKTqRjBLL0lBmHRM3PFZj5wiRjXMXwBB/7Cig1rAFx2BqwmYXHDPJckeulGe+PgTp03rz3gaA2WgRYDXHhT+qx5oWlHI3alWxUQRwgOwna115nh+XCxdB1eYgUrAXXGRwRNwTIf6kJT4gWauKyFgY/PsSpKuCqQc6rNEqRU6zPz03r4W0gmAxuQIrPBd4eOoaRQuJAicAA94qVa9nmAEVg6YAK0MleuC5F/hTmDVgHCCSspS3JfOD/B8xwmASuvewHeeQHh+ng2wJm4UQg+wFQ8QKLXwCuUIBpYxFHH1RWN0ARhYQIMGyYgIbYhaF6JQBM8xohY8gcJMz2lhxaoKWtBVKlWOAWN6ZTglSOQMmiX+kwR8URe0U5IwwK/Gil1R3uxuwc6sH9GaHYgK2Bsgwh7gSU/ggdE8SFmwKDT+ksEgOMC0UgCdxItr5MdzVssARe0NysEYjAHkCuWY0JAZEOnRvE18BF+yLBKYMimzuGRecVsI1ACfAVFyPIZZpYC/4jDqphgTN/F13A7nNMZ80NtFEsERWB7B7gdH0MAI5GEIeFUdYRK1AAG5Hc7gkEBTKQ+y4FSjZC6WakaigkYh0AoJeN53pABrNpXn9OO3XJAYXaikBCGXoAGiac1VjoEEhEytkcWUZBNvuYEC3BwDAQzNoQEfKGYmIaKz/YkFGMI4YeWBApBnCtqs/sw/8WRfIAEYDNfSet+gcIXtsAtXOE+1GK5I/C8uV4RNnB1PPEAj/AEbECOTNElPVMD+07iq1BhmCrJdG4iwLIdk6tXHFfuArNJBe6WB/pQBnsHwAhDYQ0Cm0bCrXAns5ImY89AuZ2hGhXkAD1il2XqEdGTpGy4Pt2bvwQEWYmzHeVwvmQanBzQOE4ukTsmGCYhABwgVCLRzo5AH7syrB2yAGZ/Ah4GSsaSp7BaBC7gRB5RAO9Oh6nRsEBDByU7ZbFBBQQdLEdDyx5bwSaHFhOZS9eiGEZQBBShyT2DzD2qXgOFI2SXAE2xIGSyupqkBE/QFpAqa/b0vVeSPoCSH/oZIBnRBV6bEj3LaAY0tu5jLXlaEGkRAGYSGY0ozvCCBD0RMbTnJx0CQS6gfumCX+ID+qi8LQjBzV2+xMI0EwqtZhIeOwSBQAIpaRKDMX644jzS7C7wQlNXc9CWbAV6zNQJBwVdrnxDqMtZZjrIQiyItZhHQgAisTr99AAgEXK7ws2xMbxzfUUFWWVZ5EkKSp13Z6Koc9Vb0AOt5gA5cqLEo6RBw8QlUGAcgMXnuRuiCAAd0hgrYhkKrnuVdC2DMK6hwAPNpyxSozuiijlmBAErzQD/mAHlayxoLUi01wF5G0QPE9BAYwRjUNNqMRBr4IPqFKED1FhoAABP8YKFIk0WswQUkyFEPwYKcqp4gAB1471bQSCiL02JsLU97zFq7RAJpQVajDFwEtrtdkLzwmvb++Fr/MC5JrMEBKMACHMACsEFYaKrbboHMpYiaIMJ6mDJLeEkZuCq6KPN2sYQDhEF8XNCqYo+k+ZpGsIuZrBBVJEAfGAL03MjSNoFUz5SKtAFnxkt33JXljthAOmztGbQLvECFjS64hAtH5ABnHE9dNIdatgar3PMaP0fzAE9i/CatuK7A+YYCr1b94QANwMBwNk4hznJ39ACeutLD2catqPHH/dgsB0FQOWFTSZgggoaMuREPbMHzCUduCAsOkOR38+nTGoAid+hVOI8RiJ+fGA2n5rQDnJMbqAEarAEDpIEaKMCZJYFU37emuYH+GEE26mKOJgkCaEBTB0ZKNSj+GsTA93nTLjY5SSyAvqTBGqzBAggAARhBu3yBvXCJ3aiLcVyQEXwBt4uBFYABGFwBSmXA+yJKHdABBlyABmCABdCBHRjamOCEf+BSeR8eh9utXbdansWtFBgCGPi1qjWAkCpSfiABFny7FwCTMSHFesFwAvhBl30wLqFBfX9z1NTE5OqGQLfxgsEe5Gz2CHTnC3DAPw8L8LF5YMFkO1uVIMk5a5deoTcKc7tb5xSSB7iehYOsYoU0D+iAv50AFYBVt3oEli6V8r4AcrvmcaVu8uyrDhwOB9hAKWmL5t38bGBpoxaCdntYpSucCeCAlzJHVoGieHvXRVwFq47BBDD+O7wDLUroxPi+gRxglgVcQN1PwBJgxdyUXRvoj18kRlAnwEGdgQYEICkfaBtENeX+AIVgwNDVwdxbQAVYAAVIQGUlgbQjAd8K2LreBAkPgQ/QUwwwgQyUvgx8VBYQa/q2QRwIwiAIwhcMwiAEwh/A+y6jeI2TRAUIAiHMgVIveNyN5dyVmmESgvjWcNZkJ3Z0wRKMfgZogAbIQAwkQVmErdEkQA4dQV/DcMX0BSKiYy7ZlLgwrCE2p3JwRA+YgA7I4+I0Tjdpx75KR614HseXnkCmRuy+IyGmrpUeR+cQAUC4COHBBpEgQYQMOfjjYEMgCoMwLEJFx8AUPYo0ZIj+hCGRFSc61OhRyAYJEjyAIITYUEjDhUOGFLHhYaCOjEWKuPBAEOcODyRcFOKxgsSKHlxwTilRAgeXIUIYRkR4sOWPLV4aoGmz1U2bAoG6/FAYJkKAM27QdnWDBkOZLYTgaN26lU+UKFLu3pUywwgSIF2kHOg6t82FMUiCKPxxxIwTBXO7JuAz5ojLMjK0DkYTowzihkcuMxi8Nc4fu3itSJGyZMkPJG8joBndhg1YmGKLmGEy4MCDBg8cDCCQZYyGNFzXxiFEpkyZLmQILVqAdi4bQFu2GHIgF+0DQYgcQ26jdvwZOYe3BGrAdeuBQGXCWJA7vk2DQGaMHBxypEv+kgEGGmCjgQYGmEALMwIjzCtBnkPEgrPUOiMGyrqI4oDxukqjAcpWWsghlxR6yiWGSGyIiByomOKEn3jI6EMhEiqChxVPMKgyjVzCMSKFWuqxpRynAjKlERGCEaYgiujhhIFaBMLIHH9kKaUiiPDJgxoMylEhGU8gYYQWi/BpBIyKPGjIIINIqSWPaLqoiJiIWJEEmzziAIQdqCipAx2IKAKIIm4YYYSHYPQwx428iIC9rRSIooyIjthiggDSSGswNTQow4wwtiMPjT8aaQ67UbtA4ogfuJBiPfLakGCMLj4sgwkGxGOACTMSO+iIMTCjb6sMSoVosTI0oHWwM+b+aIQMMrpwzjlTTdWCEArm2yoNP8po6aEtzCAgAAXOOAONBAKIoBAzNODODTUsQORZJJAoQ5DpRnNvDNjmc8OBQQ7547FF2TvDgjG4SO8BBe0bYwz5fG1jASnKOEKhU8uIIYAE0kjjjDTKNaQMKP4d7AFEECGjEQxk4woNC8RgzI8FMGwDjQ25iMqllG4EEUibh2CIiz+J0MEDEGq8yczEcCvJgxWKsNlmQ6fqMUiIoqRqqg5HDLFQJJHiAQQPTiAzRKmAxJFKnUK4Aaccj+Cihxo2IAFLnFwgIewdq0Yz14OokNMGF5P8+qSJaNRhhy5L6IGIP6lYQYQa3nwSyIT+UAWD2tkUwPaIlLYwgYI41rDUDQY0uJcQRUdLo49D4IWXi9dhUii9CxeNIAwkek4TtAzybUOBPrbw7CBeUx4PDRnK6HDXdKlr4wwMmGtdeo6G0GKMy0dbwFGOErPeggS0OqONNBKYwGM+EkBuZWaFQALGLqwoYDb3sNMuXwgGKUO9hgcbrIJ7uxCIC9XrPWOYA3e2woYnHOIHDDmCEcqAAQBkzFrlC8PHjuOrNTCCEIIQhBzY0xVXYedlMdNQGGpGpLIdSYUsEUuaevKTFRjERWlC2hCooBMP3OBnR7Ph5Ky2EqnlTUQQOdKZoGIknBCBiTYIQQhmmJGePQ1NJUL+EhVSALYWsTAiD5mRB8YEBC4QIYsl6NNTsFaVqkCEByQgWosOIiMQcMAoRZgCTVSwAxV04AQ2KULXTiACmzwlIVjTyBHiE7MM8eFRf+KCFaKwiDdgCC1qaIsZCLEdwqDhCWRwn5ESgjvZBQIC9KGOA6zABW0dhBAXEB97fueUH4FGBsbaChqAJbwggEYDMJvL89gXO1MhRCxbWJhofIWGPnThRwUjxIMUlAbDEOtf41mABFp2hIS0LwryG419ttCF0xVPX2AowyAgkLLZdAUN53nN/ghYhjGgTDwLcIIZPHME0MinDpCRpiEI0Yf0EUYNepCBDPRQAV91JQKE4Jb+hZIJhzBsoWyVoeLefpC3xCRkR0WowU5c0JA3/RBJM/rASbiYozNZbY1PE1GUCpkYNB5tjUMAAhGmwAMd6GAFAykIoV4INbHUVEYk8MBFZNqS/fzpBiZh2p96YBITuGhrLLlarmRikhTQMAhEmIkHXNCnHTwRBCwAgdzW1tWPnoAHXChSSl8SBCSMgXfNk1npKgOESI2BEJM0JRpK95ZODSYNnfxk7HxwpEgNwgEQoo8BpBAWM3HBchmkT6O6IKLh9UplyNOmmXhZrTRggBCViZ2udsSFY6ZlKwuQgSdteE4IqAE5vsuAwtCnvoHdqIFb+IL8COOego1Bk1tRgwP+CDGGRshnNP1z3sC4UAYrrMdX9CMWAmWGPM8AAQmEqIBc+rmWDIRKBpalzhsW8AY20JY6XXEAGEgIM+poCAywIqTeyvYjQ/aogWNckQd0ULYheTQEHNiqk3xoQyGytGxWY0kRCSlEGHVEBzZIQQpckAImuSh3ZNNbz7akA6MyDW8eYtMJ1Iakpl4JJyy86I5syia5EQEmVOrpDm38RBSc1ShOOYKMRiA3KmREcitdyK7qOhrzoBAIejWDvN5AnrXMwS1hiEvMONkZI2X0aUhAJyUZBYWw2DQIXMCKgtpwAD/IMk2qreVocNkZl9DSls4zzKlECuKWFCGCyFTL+nD+xxD9PSBfa3ktrwZqTegOKVJWoN1cDDAI7FyvWg4IwxiIRStTqu88/BFgw9zTLD70DtAN6cIXDkZJN6QBeYTIwCtjFq5wbdq9gdhCGUpInZkRogvavK8QPktE/eBXCD5YY1TP2oPE8DZNQEsBB5YWhMQaksEN4ZFUUqImQ4YIJjDSb6FktIKvHZUmIOjBkK4NRC7bVCY/sUlEOHoQt61oTBnpAVFIkOKnBNXBawRCD7I4pzfFpG9DaxEVShCCDxTYTSrxqgi+hJOMKmZnEAmNXc9QATC4dZdIIIMgHtC/tWBgDJtywKY5yToYUQ9SPgsD9ubyOzIcwTOG8MOj52L+H7euhHh/5YwuQYMB+W7lDHhdzC53OfEhIMEMMRCNpygghnx24Q+CqZUTlsUHBECGARbYAuCCsAUppHouqJz0yQljaS2UwQnIBNhzX5WeVc3FXmXgg6abJwFCuC8iXRDEGmh9vEY8U3z9VJBz2WNdP6yBtvTBH7NM1T596rPBDibbbaK04q0WgaMcfUhW7YQRiKTEiA08rRFtOiWcuDWxQUV9hI0oBDEqCQQg+MAc5+gCPw278rmSCMA7MLhuT+UHgHIqTri0E2VLjNpxjUlUwZal4n/RTVj8wAdQkIIttg8JM3pcnwauUeLvsgtPALx4amOGzcGrDN0kzLpKB9D+y9EnAdtr3y7dWhltGmEQFlADxs8jLB7IDPigmnIuECTmR/iMs4wnA+TsyC6DvYguA5YD2JbOfQgJXspP0xLvC7ggsYygMZ6O6/6AOdKFMLoueD4jVXBODQzACrZAtdBuLiTKYwJBvuyKOtzJYBblAaKgC7qg7cSjDXyQmXrmEJ7AliKkCQ5hEChAYyBjNgDGDdQM06IAB7fiDQTBEZyjC8wACM3ADLiA5aytDEEExHDjo6BIiqDiKabk3nZiqzoko6wtwqbGTJZIcUpsSHhmm3jkSIigBkYA2kIA90LgbxpMTTSCcpCkB0YAbJQNd35EIkzAJGgA+Zwo+qyNDi3+ryp+pqmKIq2yamlwQkkUTgXebemGIBA7oN58SPysrfwGCJaeIGJ6BjSEEM6ojAs4RZ1k5g8QoQteZxi5AAiFsQvG4AIy41jgQBAihj+KA9bKbhByJuwuIzMasDNsJuiw8AxkIBiNcQyNURiLMQo4kCvYwFH0KV7mwJdI0ATNKwU9gyHEbg2k0QC+ADumZT7SwNIKRhAawLHeT2BeJYBoZzDoZwueoJoGYwFW51TiRQYaz1cKCxEEYQajsGHEQwFqsf0Ajzze4A886AtI0gqsAAysIAu2oENOC7/ssKtK4Gtsgrt6ZEuMjwNOwAYe4iF45IXEAo0y6iFyJSWIoAf+boAGcmDgcifbFIInWUhEAKVLwCYFTmDhQGCQXoKKYKopja8oiMApViIlAE4EagQpekAFCpFp3Irf8uZH/gTfUqzMyMjdSnEECnEH/GQ/YmJGQqLFEuyiomILooDs5gKwCMHHlkUCDLAN1OC2YGPT0uAPlkOeCsEQLk1hnuPWNAAB7Mp3nAAcDyEQKuAcnYcCmAwidkUGGHIzImbOiGXoZGYOBIEQlmMMmGVZmEMMmsUcFaQO0kADGoELjOAQBGG20Ex7loUB12Jg+A7/EoQwDMAL6gcj2wAOVPItJOAsNLIrKsAtDFJBDuAHBZMwu8I85InpBiEOsJEr0sBRQK7+WlSNf9Did8qADCBKyuRgDjRAA2QAA2RAAzIgA2LgCjjOJWAxdvYjSdwIBLYI9oBmBX6CrW5DP7bpaFwsRJos3EpgBEyAxkQkQ4ck28zkNv4N33JyB15gjsLGKS0vSGoSSbzqJ/5GKI+mqDgU+XQABEKABBBRKhbMQNPEI0wCI26CBx4xcZAiB06AA1RgyEZqIiCUBHJg5xIMR6DC1KyA0NCsAgKBC7TAC6MgAizrli4pkwBGDv7ACZqgD9i0D5rgCZ4gCZJgCRBhVmKG6DDgC5oDPNyRMCzAEJhtAfMlzpTnusAsDvbACZ6gD+D0TZ/ACZLACZaADL6gT4muGZv+owz8Bc3OQAHAggxOsDBZ5pN2SezYQBrBSbDEwwEKoWAi6DFY5ZbcaQyma1HsowvE7gFe6VjYwA9KTlOpa9Nqo/0IEzlYKyPRgJHaDwu3Yg0W4AAUoAAUAFoPIAAMwAS04Ax5rw+h4k9EDAQ2r9u6FSds4BFBoEOPaKNgYkrwbI3MpChX4BHtJgc6pBRxAEm6SnEeQiJ0IItGwAZ6gAp2AAWOStmgBkhrCqqiNCkTY0oWJ6vmBCk8ohAZdOCGLUpIRAGVxG6+Eoa+aqpKigTshAqcAinyZEWwBN6qtMGsgriKhz7YwAnkqQwaIQPARUEw5V5eTiDbYA3e4AEgoAH+ghYCIOABHmAAIiAJxqAPnq5/zuABRJIQomA014kt3MIl3GxQPeuQXrNh1KACgDZoHcBoxzY4YoAMBoENAGZjNGAQGsEPHmQiiS7SnkM1N4k5o0TscK4NDMDWDIG4xhQOvIDmLgNW14kggfDTggss+E9LIWNj6CAQGiEQNCDRyKMB8ucK0UyR+EdmLqA5/iDV7AoNSLd0yYdcmoALcobb8gurcsIkELEyCoVxToBGbkDb0sRIUq/MgEAsGKIpb8oGTiBuwIiHeBJobqBDcSIHTOBeycwjzkokqGQHcm9xjuRpGOJHtukHaNdLyARJiiAHLrEIiCJsJPYEau9uqrH+Ra0GCGYkFP0kSRb2JlYMwP4oSXRgeMPGT57EyBpsVygA7+gDDeIgCghhEJ4AAsb0lkoHk06OVdaFARhAXCSYARCAARQgAJhgWWWDVa4pTefgAF72lm6lhnapcJMJWExrYgihV0Z3gmE4ARbAghUgASKAr+DgTufiDfigD+SADUbYeSJADMIpA9zRDQRG6q6UP57zAM1AsDJoLSAAhTwuPDqzKwJwCxwN1MDiCMQgAsSnvcSHDXpYA95AO03pDExTUy01Iw9vLeQAdK1OCglDfDYmAKAgBoVy+FpX9qgEfe13SMAtEI1qaRZn4iKiRP4EJ1aKK3OgBHai9nAMq4z+cilwgEpMoARoYCeThEbAJCdqwiBg0UXdMGRJoOHA1wQ6tODMCHwBOYq0JEi41yUgVm0qI/m2KoW+FayooCj7lQN4tE9+smqoKCocaAwkAO/S4gwOwAL+QAYqQA2kkYGrjAJ4lo4hAw0EYHUCoQDYq73QgAHeoAIWADbnYgFqkdlSs3d+jmtl4Ig3F80SwALCgBDUs3lgjQ3ggA2OQwrn2S14ZTXj4DD0L+yaeDwSUjseV3BVtwugYBYVxDwOgwz2Z3GxgwwkYD3/jA3ewK+cyw0SQA7MKRcPb9OiEA3ggBAO4QrVor3QrA42JgGAZ3V5D0qwSkVYJHe8bRXfF5j+ByneKM5hL/lMuNfGOmADdBQFNmBG2e3eIK5PVEQEpsqtRnGG4OTZrpKoScrBgLKrdkAEvBIPe2BDcUqqdo98hxcRhVKQPWyjkCRK4QgpbGADwGpfuUBoVNQGbGAFnm0D6ogqNMt/gQTJOPP9nEcBIGCG4xmwMG0fm0t0WnouZLoRvuAAJBCfw1lcpNANtAdWXNNuVcYBEYOjdmcZQwibx0cO6pkORnBR0GDWOnN8OOPWVNNpB2YldUWL9zZVMymK28DSaA4JBGg92YMCnEO3uVh1I2igRI7oiJsrEEADLqhY4nmhTjqly2ARCmAI12kuyAcKxoAl9YYOnyRoBqL+Rnx0S3qgbpQaqRCU+QasCFRZ2Zwkd6JSBDwABVDgiRCxqHVgBESgBKigEGqABDqgQ2F0BTaArdpMSXDSYEc5amQKSXSCR3cPSXIgwKngBoZGbRa5wAeHRnXm8g4iTha8T8xyeK+yZhjCa8gqBND3AwwMjoCEiybxQyLFCbaOPQwvXIrH8AqzLbggk4L4sWdDMuozmo3cecJ4cx/ACjxbP4bgGjdJhVeitN+uup2HDgaBV9yOU6N4NtD5XtAlAVp6ZfbOJfQWPKWTCxRaZaY4ePyusTRyKzotgOauPWytCMggPLS8c0eHD8SgDOSANMWjeSL7ADJ3OmoLzZoHAWr+kXtsGk2UqqtcANqw5EPFgpDLbSavF19vInw3FAdAzEwaJ8hS4AXQ8hDT6t5I4HGg1ANgvaSGN4paggfahMaChK1h6q1sTEbfBDFY0QQKoW6ktMneOsANtveApAe+ZoaousCPigrgbSLmaL9lnAPspCCWDumsCogcYgjGAAoE4LH/vDAzha86ZVG6mzCQ/BAswFJRW0EowArghSV2x7y8MXl+d1hqqc6jcDbSwALMyV8+0ljfz6XTLArqp3Kda7ccYs3rRTqNqbi2Is7bRwwCOLYJ8p2K9QCkEzTMsVro2MgZ4A/4irni2VJMqSsUHRH+YLtj1dG3ggE6Sdjq8Hf+E+LfNIwDbsBDQT1/oY2O+kQl3pCGkgTAx2SKtsT7/nUKUpTVf6YI8pePkhKnpRQTTSLFkMInQGAFhDJK2NpH1RUIGkeLQKyTBQnhWnFxrshxUrbyjHn0hMYDXqAQmEhFgq8gakb22GRoPADavr7o0yQq9Au/iMnUAkEAQgctwmvlnastxCk2zP3QCSMNGOkQ3rmkDbthGIACmMVDYKIMjPivZCBYIBADvnlzWUvXLCBzDeDgxwPIEV5k9rw4zFxl/idHkGCLR+PJVbe3CQMCvKAI4IUMVB7N4oBZvtNXvqIIsEMQBKCfQ4hzW9oNMoc2lXzlrZv+3iMKFEBuHZ3+tThSshqs0pGG1jkgBFDiSHAif0ngvJPyeFWsBpIySWqgFU0gCxQDJoS0KACCSpEdIEDwKBKkSBEXHkiUUKiDhIcRPRQSSeGwYpAgRE54CGGjyJAgQjYCGTly40YhQoaMLMLD4wgiQ5AIgTliBJUpKTo8PMKFiI4TI24AURnkKNKSG1MWqREihAseO1eQcHiQ5JAjRXSU8ADWw4kaB1H+aKqS6VKkG48QMpCmjRs3ddy0uYs371y5ajCU2ULIARq7cu0Svnv4boI+Y8pEOZA3MmLDiBlYIHPkCNIfZWQwkIs3RhkkZ9t2ZkA58tzVoNFYCFPmC4XBeBNPrt3GwZj+LVsMaUCT1/WYIUqDbJECmfIBQVu4jHEQGUIYLkKQjGGioHDky0fKWDmQ+IAXQ0C2jIFzpg7o1JRX210+hlAF2qD1SiacwE+ZQAr2StY7lwJPbHFESkEYqNVIJx3VFQkfpKDREEUIlQIIITRUAxFJBXEEEEX0UMIIOUB0FQk0FHHSgR9KdMKIA5FwAg9cKESFRyTcoJANLBJB41UPMUgECSB4gKNLbLFVGkkb6jCCQzRVV4QNG6xAxBQndLBCED9MCAMJEB554A9qlaRgRyB8AMILO1Q4EY4iDfGDhD3UMAJRJtSg0UZJgqknSggiYYYFcbn3X2179TWGGYREUB/+a4Uq1sdfhDxwhn24rWfXAk6UodmGB5aRwQLrnSEDGUhoCWd3MgC3F2GuunrXGa+RMYYFCaiHqaHtpWGBGVsUYYYGCbiqhgXDnXVWF8jpdcAXBAamVwOFHIEEEl08kd16eElABhdbWPFAYgZ4UURmZVyAgHqs2eaeG7ISAgYhEDSKF671RbZYI49pm5hhhAm4BVsIqpViUC5w4MELPCbUVQooWOjBChUZ6eFTOeE4xQpgndADcS9xYcOQNQi0hQ1i9ZAQyB9xrJBVWCIkFAkinJjyDRaS0MNJQzCl1M5IjcRUETdctUIRNgXRA0YZMulBDZkVUSOWxaGlZNUHJtX+g0QhoKlCQx6YQAQXaUn4IQ0mmEAVESkeWZJaVbvdlhl8DKvdo4XZpYYGuwVGn22FJuCEr2FYcEZ79LZ3xgFRcIpkZ9lRRsBoTf2ABBmrIob5fXjJGkYXY2SQwKOw/suEGZkF219eFmyh4FbKQpbXcrwZ4kBcd6UhnUhIfFsAcPe2Yay1giwgbiBiH7EFH6n7d597CGRgyBhfwO6vaoWewYS+orLLr10CDMhUp0AreRaDPcTEAQg78BgUT1FdmEKRNSX1YQoi6EREDWDdWERQCR1BhK+AAEdBSYEHSlARhZQgBCAo2oROIJGDcIEKNegAzhCiEP2F4AQ8MhKf1kL+v6E1TUNIEBqMKqKDIeEoIUO70dRWcqQkFcFK7wuBRBriJlQJoUMW6QERFnYgBKnEQHAzkFIM4QUF2M5v/7ELGjBgCEMsym5/25QZwpCBbDFRNWdwwCAC5qmNjEEDj7sLGjLAuPJZ53LWK5QbXCMGzzXhAJWiYuyiELAiOK4+xTKVSo7wusgcwHhHeA5upBOwH3AhDLWTzBnisJstBOIBkTGAFQK2u31pZ4t7QQAUGsOf/5xhlHY7QwYO8YftXQpzrQJYgcA0kh+k6EM1WIGF1EcFKvTABiew0AfEcgMNoYpsNxABCUzQlRNEhWUcQVmDYESFGdUoYhqaoEQGyKP+rIHgglArAQlGgCKLaIyaQYTbZtBSkqeAJSRc8NAKXtYVsKwvKBrjWFJKY86WmIQrNzgBB6Kyv2NW5Chw0qdCDjqjNx0pJXAjUxANpIVCwMF2dgyOBv7CSN9V9C4MGJBzoBC6LaoGAZdpp0oQcgTflLENaJCBGRCilEL+ZqN4cQ0YutAFLzQgPRtFQwPAEDBVqbINfRRCaZC3rLw04JK9EYxh1OCAMGjmB72hAEU3ZyxvTTIyS+2CUbkABgcUjqYGKIQWDAGFNFxVLmtgwwIOoIAF0AcvvGrEHygp0up9bwtFvBpbikADCIYABVKxgQ1W4M/3nYAGGgLCUYQABHr+GvMGhWCIDWtwUB5k6CkdOIENeNQVkSkECMU8GY8i4hCBfOgEIkAm/XrgkRAUTWdU45M+PaQ/D3yWRqzVwYxs8M8XUKFKV8pQUuAEpj1VrAYk4EDXGjKCEhwkRSxhyUb6d9AhCsxqfW0Jz4pgiAtky433eaIhtpBRmnJ0U1zQghQEk7n45mUBSWDcgTrlHA0MSi5n/JVJNrLHjdpFVmJAQiEnQLeKWgYzNemCZ1oFPD8CwcDHUStdx0WgMji1MA8Yw0kPcYHQReYMcghDESTZgM214QBW8OpWyoAB1GyxjrezwHnN0Ic02GYOcsBABjAA5DkQrz5noEAj/DBU+bL+MgFP6EKntssWIphAa4NFAUaG9IFlgs0kLpFlEGLSWSrEJAQcOMFBqYDYH6ZgAynIChEOBhIMWoUELvjhUySC2QnxoElFIhEDMfvQD6alJe70gPp4RASTUWRGDPnAC6bAk6us8JVW41P/vDmCF6TgBCcwAY4c65LqtqRDR5kaS+LUJ0GnBSlbwHEA1mofwqinDk/0FSFmo942aIpT1sEAAmD1qCJ/saAq2ZIhLkeYM5qu1EAoZAZgbbc3WqDASCgDdmhMxQU0oQwuUZWMt2Wq0iCBC1LYqVKt4K3n0GYuDwDDqbaCYwvnhcTNMUMgIEPjQZLBqNV+ggCYF2wFNMH+DFo4hPIyp4Y/REEQVrCCIASxiAqooT5piIBdD7Bu0d0FYEIkH</t>
  </si>
  <si>
    <t>bu/PZxr3TI+opEAF/YqBOGdsrFHdaYV7oiFOBAWMYSZ6nA+YGeHNzPOdWjtoUgUsSLMSgkHjgFLfaCFpOfghQiZ2qNOE+GT6QAFKBBwx65rwjMB4Sg/wKcWckeSIWZEv0px1MkaqhQtnEwLK1CBRqWNBLr1aSew5ZtUbAwmQP0aseSMwUdPZl0TGLrvOUPJECAM1LhMZWM6cOhZfJtQJJRN6AWW9smGlm08odTumX+Kk9Sgh5knPHNt7vCUR4+Y+rWLDVZAMrrXXMsxAPo0SdhdfgiJrW7aBlf+o49k9cAgAZvr8Q0TmLevFikZOXhZS2Lx61QlUIgkMEfjlZkA80KShERkQPSDaY+7UCuaBXChDBg6T3rSPJjdLEANYUiEFbhvhznQgQEMgAAEKpnkAjiCEPIRrWbt0FqlwzcO5iQ3kENn4QIzkAM5EAMlgRAn0AI3gCVvAheYIiZDoQOehk5k02k/ECJIATdZYUQwdDJJMHVTowUm5GukRl8oEANDgjIqcgIKRXcTdjYTcxQ4cDc54Cct2AO5Q1AlQANuoyLqtBOzZl5OsTFJURAklAIrcEVZYigY4iRJkDsxgoQaUnc64lOwlQRiMFRxIHxcNhnjthygd3uj9wD+6zYGwId/elQ/bjAXtLcXqZM5sNEUFOgrH5CG4QYaG7AGWMYGG3BZvVdLTJAaZYB8BaJ8nFMnWIYFm5JkC0AftQcZhmN9tMUEiWBZw+Eb3FEI8JIYDDB+hlIbHBAcTXUZG5AIYuAGghAHypIYfAACtcgBtQgChbMecZABOTdN/9ZzUoBNdoIhYoQELEAQaMEiL5BDJFACyzZBK6F4MwIlXQNELfBQLdCDa+I1ACUoVxQnbAFsVKQCLMiE0KUEWaBCOPBPI8QiZNNgDkZDFxITOWg0g1cRzRYGQCgCJSADWZAFlmZcM8KFTGQhHRQDKdACM8CMEqRPOxETU2gmbyL+IzMihQaZTTWUIRVFYaznANyXZ8aBB4uRCEqACBkwhnoUAVRQBmTABGqAikE2HBlgPARYex8AbtABG8PGEDfZGagHHYBoHm4gBUCWcAkwYi0jBF2ViojhZYdEIhMXBSCHGBKABtK3VANTAWuARUxABhYmesTSLmQQiuk3GNBHfiLhBpqCfqLxBnQgBWQAhhZmKhFACINgCFzABYZgCI1AAaqVOb3If6WiMCzXc/bjYGQEJk2ABCugbCXwjGdxFmaBU8oljXYBKCMQRbZlAjOQOxXRT0jQdSHQJxpxNf11RY1ZRVkgeWKyJ6gGNdaVAjsANjbhUI5CHZFyUvQIJnH+Vzc+cHZcs15D4CEl4AI0YGmfVibAU2zd5CQrMAIrkAU9gAM5wGCHFxdTaCjmlZsSKWEOBmFKwzS+ggXpcVSgYQd+EB4gcEceRiAyWQdryAZMsARmUAUAMD9G5VTsSQZMIyndMQWpo5P6ZkZd1Yd+yC7m4QRcYJ4htmbyZgYvoViL6JSI0Dl3ITwW5xeU2JKD5SAXcAhMEFxeaQWimBhv4Bu1l0vz0QZUWAaGUAGVg27EV2aueBsPUgGNoAhtUAY82gaIsAd4BgcT0JendFaAORkOUAWyZycaaQRAIGoGYZyReQJGkxNMIUoaQwQnEl8t0AOJQmhgQYQfFSd3I1P+JrgiJqB2Q7ADSvFDkkcS/cQDJ4MEM/ATwCVpkxkWstFnfTYrhqISYSBqhUYROpBDRWFPONCPBhFQPRAGsnaESmMnGsECKXAkKbh1b6J42gmoWqKF2ckhTFMpsCVho1oXzpMGP3ZJ6oM4exAII9kbblAG6PJ/qzMZaxgbioUGH8YprIo4EiAIiSAEwyopvbI7AgoHhVQ6tGEbMop6nAUxz8MBDUA7ljQHD6CsL7GUXoUYrYMI9gQXWMYFwTeKxrNKp5cbFXAIYwATRTAGhqCh+OYBjfGiGqpiheAEVDgGbcABK3dJgkEYcXAAbOA8iCAg4VMBhmBICtoGisAqlpT+sI0ALMTUKQ9iTW6gVXgCPDGBFCYAmR/rAs+oAi+gUyfTMltyUVcRRTLQjywiRVnANR9xNSpgAqzWmCuSNyZYReh4ddrYJFETnZDCMWbBIgFkFxFWd3hSHVFTpbjVA36HQWKRBIr6gHvis3ThYmWkhFGRBDvAAvPkJxRJd94ZkTAxG6BKE5+aeMR2d+bSBrCTkwqzZiDQCHPwkYzjnvlSLagin3TlBF21KSf2IHHgAWDgkpeiIQMXOpYBBxxgSGULOj9ZrfoBBx6wHEwAZlfAAKElR3YAAQuwBWVwP2SFfN16LWTAP2MwlZ6RSgP3Hc9xB2rgkjPhBIZAAfHDuNf+oljwOh/YpBFMYAaDIFVqRkcSYAXY1AZt4AHqci/EggiiOxNF8AVtAAJmdXGNwAi6tEfClBjWNJ9nc7QYwjEhO6VVCjeP8idQd2yAcgIutSIh2wJZ4AMz0CYC1nXlWIJo15kZoQTISAIZeDIWwScZcSIpwCeIFSYENZnAZRcTI4+zgSFD0JjfBAM+kAMDwYMh0QQKfBBDAY+Sqm2WEilIYAP8C3QzNDGAmp0RGRMrTKoDCGkq4SVKQ7tloAgakABF1UhvoACE4AjfFgeMoRm8Okf+50zBCkb1eQhotLfH4b1K4GAYgmNvhRxhJZFuy61kSFUOsAEdZ4Vp4FY65sT+jkt+PbkaH8k6cVAA2DIVhkIGWuascEAaZZBxhDWk5BESRWAGbYABVJw5umsGXFABA0IcDIAFZUAi87IGHPCR/8o6DrDG5GcGj+GsdcCL6zobieUGIHB7gMEAjdAIfbhjlmxNZqZ5LrEh6XgQxtkCzDgDPTCnMXIUd9ckHKEW8xsCMBCyCQgD35RPZKADdaMQTQCCddMDSEAGUDoUTIEyVEQC8HhP6RQjSYKAJ6B2EhORJxUVcYcQ/hVfUKgRRdAEO/BN4RUDWQdpgMQh60wVdPEmFPhgTpO0LezAEgNpMSzCqJFN9GguZlAIFNAAexseXHwIjjABDhAAHMAGZnD+BgNQObhROeoh0YMRGoQRAFJQH0bQBGawBlQgAQHNLNDxABqACHRlNrTytzXQAOoBB3DwALCxnaRUBh0gAA8QTCmJOBAQAAWgBuCaBIsFGeoTZw2QAVcguhHsKx1gL2Ko02tcJ3GhugLgALgBBw0gfnTMBgQQAGIYBw0wAGBQJm7LAQBQGJlT1WusWFuQAA8ABwG7AFGAuonsBMGbAQ6gHphUBw0gAYPAObq6APaSfg2gu6exE0tgK3aNOA0QAITACApglOk30YnzBjqN0cwZMTNBzFlAtDJgwT3AYCf7zi9hIkdxNSRQwRtEAyGLFt+0Nk5yE/GrEVZxXVf0Awb+HE4P1Iw5QNgYJV/UKIMHYbR+o21i9BL2eBZtYqlZcRdAIDV10wIAjEXm9WddSCtJOwQtjLSUkhKAqt0GWV4zPMPcJIX9HEuDrB8OIAET0gYdsAALgADVswYEkAAMUAH0RwcREAHyFwF0IH90EAcSIAELEJd1AmZgwAEKwHv4lgAUMAiNwVdKpHhugAALIAERUAERkAA1YAY0IaFmgAAJcOF3gN8XzgAWTn8mngASIAAIUB+jRAZpUAMSUDmA+QYRwABUwAbk53lKQJQBsAAWwAATsAAHUB8QzARRMAALwAB3UAEJQABb4C5qUAAUrgAqbgBi0CSyAUtSIAASUOL+9T3k2MLQSS4BdEAHCTAAXUAGe5MXAzcFVCkaD0BkiICxQjDmSr7fcSAAU9BiDREEKkGUSn7fdBDgghCKEgABDDDoc8DocWDmcWABCiDkUGDKdifDgDpQHgsWFOEnWpG0TtNC7igDHxQDqS2ZZ/ECP5DMHXHbZyJEIiAlN0MQL3B5bTo1PQCuO4CBQBMCBsEihNI3ivfpxZp3QcNsc1I2DYEEN9B2K5ADaodF/tlEI1JR9Uxr7GwhNQSeMMzt+cwlU/i3aMABEmDXMieGDjABU5AGsgoFB3AAUJAESzAGCIAAt1iLH9ABHHCL+s4BHwACH4DvB2ADTXJ4RcBuVgD+AuROHBGSABtABYqAuQKkEWVEBlDQ7/uOAE/gPLC10U9Q7xev7yDA7yOv7x1wAE/wbAzRBG7ABSDAAAjuF3IAAQ8wATVQGnzak0lgAweAAB/AAR2Q8WJxeHARBF1wAB1w7xyAAGLQS2LAAgfw8/QuBV5AgSLhBFFwAP6Oix0gBVrhBEtA7xiPAEvQBHuTIWUABlNw0As/GJL+ASdHV0LgBF+AAAbQ7//+7qbxFDshBGQQBQgg8v3u7lGABQhwAIEf+P3u8/ru7yYfBRkLwxiC6UVzAi+QBenbMknLTeSUA2cBA1jzpURbpV5KJ6WtTrV1NziwMc7MgyfDJsvsYo3+lxMn1BEyACQmEIWzMe1BJxNsqiJ3M5BKuAM3wAKefTJfwm0T5sDVbSgzMSLSDmi7eVIzbHem2s5EwAR/GwVTkAESEAAKoAAMkAFTUAiJoMdf0AVd4AXNQwZdcAZooJeHAAbyfwhcAAZgUAhggAVgwAVbsAVeABBMiAgRkqQJGTVWPkxYAMGBggUcnpwxU6SIESNDkhDhWEQIkSZeoqDhUugQmi9liAxhOdDJlyNn0MzkgmYLFzA1Z6YhmSbKlyQsWRop46bQFAwLFDxcQIAKGjZkCHLUyGTJFpJctkTxslHIECJGkiQBA6ZQzShdxihJQgYMmpxoohwhsnGlECf+YrAUMksSS5ckQow4iTnz0JkuSwauNMKxCRs0UzIsYPAwAYUpWxIpYSukyZLCWbd8MRNkJccgTpZw4ZLGbFkxbl8fKks7Z9lCJLccYWKXI8fGgj9aTBImBokTMcKwHXs3rBGLFhsnQfLiRAkYJFpoyaJChAgSKnKEWb5jBIkcbJsgyUHCxI6xSl6478EZyAr3KrIkCZJEhwoSdAhjjB5aCCGHF0Qw4YfmOBIMuN8i7EgjIGJIQTscgFDit4+oA+LD5Zog4qLGJDTiweCg62hEFhdz8SMJY5QQLAg5TPG5sH4rcQiMmmDCjYQ6OACEA6YQJA02KrLIiSYMcrKMMtj+GGMMNZIYgwwsr1zLDSjNGCMoBw1CiAspphiygymuaKMiJy4KCqwSf2tiDDfIcIPLL4PAaAgRhTDDCSjLALSMK7kMlNAyzICyiTiFYMLONazogIMhp4gijTqdiPAjI5gYwww3xiDUIIx+00hUUckwg4wklmDrSjYS/fO0Eg2aMqqoyGCLI4OKmpIMJkTUcaAiyCgDDSum+GCDD6aw4oyoxuIxiWBRlbXNCKEbzMpfldDVyizD/VVLO6F0YqpsSyVoOiBaCC+9DWOMTroThwDChBNcKAEFAbOIQYUWWtBBQ850CG+HXbWYgYQVgKirXQW14OwHFfBVoT4+bwjPB/L+LFTBhxkU1IGtUtUtGUYHeVVihxhWwEHioaiqizPONrJIRuBSLPHExopYkecZI6SRQ5k33TnHOFckGkIhslQDC6i5YMONNoUook0zSjWoCSecaGvrJsIGu4kizMga5enaIoMNMKDeIg1BK7L6NN92JILJJpkoownP+NzIq665xptVg8w46CAmnFByuoISh5KNNPaKAow6uV53066N/TNsHIXyjAyuww5bqLC7VvyioR3D0iAm22oJJCOaDF3bxaC7uoy1wdiKizM+JSMIdOvysU0m2yTxuYuK+JpwaZtklXDRwVa8a5+TzjFHHjXqAcAFN7zI6Hm/T+IHE0pwIYT+7ZbTgQUccEBCPSRwQB+IoJLQIoYQZvD7XhJeWE6Jf1msPmwx2AlmoIUCjeAF9zMBepgzrBI9KGXXS4ISeLADDY0FaL9x0hCspiI41Q6CEOpZEnwmwaWlEGcjtF6OfIa0j7QELIJp0pWwFJU/nQsveLGIEIIAFouISIMYeeFgjLekr+AoLAfB0p3qJBWPdAhGJpRgEKLYEbEJMSgdGgvfgjOWjWQxMILxyEoM4kFHPaqJT1wC2WDUkig6ymoeoeOJIsQ3JhBkbg4aTPhMExiM/HCIrVsJWHg0mLvZrodFMM1A8KJGLEUybMI5TViqFr5AEktPdUmCWJpEhE06qYv+OSNbdOyIsmFFqII5AFAKtGBC6VTygyTymRJwcJ0TiAAHy9HVh5BgEJAAYT4toN9YtqcCHWxECT9AzgzCQAYkpMAE+DLBAJWgAxGcoAU+yI4KlIMD5MSAQS4aSMmQxseMNIlmQzmRz1I3nO8Bp4jlzBY9GxOcPpFThRuUEArpWT16AkeCYDEIGR3FRGNN72phCxbZGEVE6ARmhm4iQh6PiDcY3bOcvTHWo0pHQ7FgBGgZVVFHAgc6YIGOWmNZFxjRaEbknSiLdyPbWJhHhjaFbVvUYlIRdGpKkRJEbENwQhBM07MXDiE6xPOkj4LIBNuJNEfAJNG6oupTElFLcIb+G4PpZkm75pDtqhgxCFQt0pvYYYSSntmaWOryEbiSqIX3DE4hjQOgFyBBqfTKWTxZJJ98laAFP9hV2v6WhHaRQDnxYeVgedWDExiQPP95AQzAwzHO9AA55mtgC3oQBnBiqCWcqic/wzJFG8VSMND5SlST+EEUnfZovwEoCQM6Qj4KR6Ms2m2NrhdB4TXBcKA7CLhwijcjoHS4WBIdcsspOq7h1GyhmySnVrsS4TZhb8SFLhEruil6xU5xT7wTnWxYJ1IBtFQS8il0xya2YAWldNGbrxNYxbebjaid0IUScV3LI8+4ty2Km697B8dcru2NUWFZKHRLFyxVHU652VX+W1snSVPtMmm40DWcg+3LJEEV74PrHdp67ZgjJbQLQO6bI1CVGEIkqMB8JYhBMcmYtPG5awbvo04MUFBjEV0TX87UAgtIQAMaRHaBSgjDD65TgsiKIAYS0wKAVLACJaTueup9kHC0bMd4rpauL2SMX20rI56N1GQk1G1vdYuz2JZTo6WLEqJWJQY1iIpQVxLDGMQQqjyzQQ1kMG8ZoCoWJ0zJvOX1laiaZMWkiRdKoZISobuqLbEEZjHtxVIZvtAGnrCGC1joiRpMjSWvnStnUv2I3syrJTFASSAgIYiqlrBnKZmXDWIQQ5P2JE8feSpKTrySofvUoz4Tus+xnjT+oZzgKUVPWkpQUvSXTAjtVVV7SoGiNBn6TKco7XraY3gUtZgg7DHE6nHTfpwbFCUqKeHJUKhesMzMqUSxLNPKPQjKvKTaGEPyipnmE0F9GBxLtSYhCyRAz3KSsIMU8CteScjBkLWQgxR8zAcmEEELskAeZuLrBA3EAWfC0AIVoGAFSDBRPQEqZpGWjGeeGbHJAH7jcx5tt/+u0XVVpNEb+RyCKIr0pjiyhDNE4QpcGATUCvH0qGGBNbsrhNT3cnUsDGILYoAqE8RwE6lfIeujxkIU3saGPN4MRk34gtm5YAWsTy5xmC4Ig6Wthi1cQQo14MCyQLABDnSgWYKwQiH+1FA5rglEIEbQUxG8vpUokL0QUcDCaPIYFquMxOolgRrlJ3clGH3kj2OIQuQHUfXOg+ELjBKM1ykPNdizZularzzZtVKIpled6WcBA3PEoDul72XUV7jJFZaO9b0MYhCcr3rpweAF2YnB7U1nTdQiP2rbSx3qTzf11Oo0lYzQVaMDtSVyiNlv6XwvTi0ZS3v0RcyVhA84TFCCZkmAWdCiIAWE5ZMSKn4CGKCBF1C5LMgCfCGBGfi4MHiBEMCXEHgBgqm/FBiBFfgyOZMg9UKan5s5TKsRMlOaB6mtFeqynhGoe6oe8TuZ9ZIzl0ulgZgTBCAADKAAD8gAG6xBGyz+ABvcwQzQwRvUAw8IwgwggC3gGzKIAg3QgAzAgBqkAArIgA1YQgTYAjMwK5lxAhsgAAK4QRvUQgI4AuOJE+BRnDbggirogAwYgAqgjDhQgDhgAAWAQwWQAD0ogCmQAsrpMOBhPCJKgiPQAAzAgB7Ugx0kAARgEsFwgi0wgEDkQUEUxAw4ACsYAx6htRFpgiMoAEikwQnwAAwgACjImtgZgyzUgzqsQyh0wg2ggA2ARBzMgCe8gCVcxR48AF3xNgRoRB5cxVakRSFswlWkQQ/QwQIogCjAKTKAAhncgFXEgA3AwS20wSfcwRp8xmEEgWapgi2IiiaoRNu6pwcZAiX+WIETUKxfiqlGUSWNiIEni4GNiKr1YiT/Yzgf0IIwyIKIY4H3WQkhiywXIIEReJnuiCzxsEccUIGKQSbmKI4VSIEb6CTf0jmliZE0k6cRtB6pciE+epEWQqctK6cuY0HZihPTOidLYoMBEIAHeIAIeAA4WMk4cAAImMkHmEkIiICXnMmYjIM3aEMBiIKuKYMnCAAFWMmWbEmHiIAEWAAqSATjiSFPQQABEICZdICYfIgAiIKKCCTOURQ0uIIPyAAJcICVfAOzNEs4eEmz3EkJyIA0gZsQCz+MID0BUACHsMmVFAAE+BOraQIsWAAAeMmVVAC7dIA5cIAEmILYIJr+pokCooSAlcxJCAgAKSiD1jMDKQgAq7TKOGiACDjKlazKOICDm3TJlmTJlXSAAnADbxEDDSDMmoQAwTzNlYxNmYSDCJCDz2zJqwwAKMApoQSABKjNlnzJBoDM05xJ0tzJOGBOC2AWK4gWb+wtfCqO+SCBXdKRjLwe4BDHBBk5HRARvtKRCloYE0jALMAB/dOBX2IJfUOOchysMdCCFVAQEbiYMNiBFQAYHGAQvqmgHbiBX2qU2dJAnzmhjoSzjVwauvqtFVpQc1KvnbueOHNQ2uqnTlkDDHBJO6gDD/3QOngDEB1ROKiDEv3QB1iAKyiDJHADKVAAORhREy1ROXj+gAxAgyoEuIpygycQgBP90Ob8ScOpl4piAjM4hCmgAAaoyRLtUBDtUCcN0Z50gLacgjNwt6KqFdJjADiIURDVTQ2gmrn8Sy810Sg1UQcYgEIAlsDgm4r6yzjw0CiFAwXoAGDpFDKoAjcc0TP90Q890zroUDmAgNW0EjbIAAgoUz6VUTmVAztw1DeAg54UACuowjKoAgCIAEANVD8dURGV1J5kywyQgqjQk9mKoEz7AWk6gZFJmbnSEXtpASXTAvEEIYEqjvYAQB/wgXyUGDB5OADJJfF4pjBoDxMIgRG4ASa7AZfJgnMcCM54HxPzrQjJQOByQTtqIVQyGhuhyJ/+mUhuDT0GraeA+sDTyhEnYIMJgABGlVM7eFc5/VMZfYMEmMQWrQKclNcnpVdBQLvQS4I2mAIF6NSeZIBBMIONqEQ7wQIQGEtJ9VARlVF4BdGefAMHmIAPUJNz+Z5isQIu/dCIrYMI4AA3aI4xwAIGYNd4lVEF+AApASThwQIflVE6nQI2tZIqcIB2DdRNfVcn9dkOjYMNiBY18IAI2NlAldik5VkPlQMG+E1AwVRFXdlFXVpPNUsH8AArSIQl8I2WK4j6qxgToJ+WQ1UK2gEViKz0EKl44hGfaQIlmIEGOoEXQLkUKDkwoZAVOA8ReAHCAlArQwFlhaYf+Lgsq5f+CtoVj2wRf6LWGjFbHCFJNCsRayVXGZkniQS6BRXJVJrWx8iAOF3aTd1ZKOVUCcACK3GDKngAeG1dprWDOMCANRWRTHMDgQ3ZeFWAQtgbTmGCRACDApAACMDdEAXan51Yio2DCuCAK3WCUnkUj7VaJx1ZNmgOMkBZLy1dEmWAre0NuCKDK4DRRWWAKSjZsbhUBVhZ7QVU5HVXD4UAEKjedPMAdi3diWXfnv1QBVjRFhWEgX1Sd/3ZRW3dn30DBSiARACWbcWx8jMBCOzGnfm5bPmKa0rbauqk3jo4Irgm91AQgIwBHlDcuoifjBOYMNCIHkuBFFgBhBkL8siy4eD+ohLbzgLt1r7CmZKyYX1KUHDUuQxu3BWiXO7cLQmKkyRgAz2I0zMdXeKl2jg4XSVgAjbAV9d13Q91gBpIEuH4ESlQ2aSFUgU4WAjWrjT4AC5tYtJ1X5B9wxqgCJ6xLyzQVO31UDjgADbwGiI4WQkQXYpNWgcAgSoBkzwm0wB+1ziwWTIYAr2RggZgWqulWqTt0AaIXyspWkeN0vYF4J19wytAlSpIgDmGZImFUuMNWgbAArTryC8yjnAqrHKtlS8CoGk6P7UyFUyrIB1owJEjARTYJWDiFXtZAZfJII1QAiSIAfbRK79hCwDzKzg5IRd80NyqKxP5wOsiV5SRILT+2UgSbBE4g1xvtScdoaQmQIQMQGMnFVGzDFF2plkHCAAsUIJ0o+LRBdGsxQKqIQiApYL65WMI4AIzALAlcNEFGM16DlHcTMuIBdoRpdIqcAMmUCq9sYI9fmQ7gIMwzaM5QVmkBVHudQPFGAjwTQDpfd/y3YhHydl27dB1ZlR1BlkF4IAvoRIPCN12bel47dQ64EkG6OQfWV327Wg+LeU6CIAacAMfmeCUQSx3EQ8lQJswq2VeWUCGi4HOoE5t+QqKYbjwaJh4GY6Z2QEMyjKIHAskAAIesIvYYQwiyq/nAEdyalDbgrnIzTnutOu3zjme+zfxO7PqkdAI1ty9Ni3+JjBnnabYB+DJzTxLwXyA43znKIjiKWZdoa4DCMhiMyAIKebneI3SBxgE3k2CMtDQwNRkllZeIAQBPbCA7HVkiI1pMEjk2xkEBnjkQJUDkjVZjq7sOCiAQaOKMiiE2tbXnbbZ3sDZRtZkiL3KBljJBlgKq3yDBiBNAAgAA5iSJCjaOdjZs7TYN3Ds1HQAB7DYmAyABfjNn26AqbXa7gbVlibqQH0ADVgDTRFkJRoL8jmBi2GvFpnWDW4XE1DIdrKeWBqCH0C5EACYkRmtWg6KmuGTmipmjRgR9Ts4v2qnuhZiHCkiyRVsjWSzBtUoEfxwuw5x3sKtHtZIzUVB7pT+4gmwaRm9gz1gxSCscWv0gGd8xmIEg7ZQXTlWX0CFgwxAZc/wlCl4gNeV039mUWpxUQFoZJ915DeIgA2gAsKzAisQhD3gUgL+Uyq1AiUgG08ZhKNlXznYgFAJizLYbaGeAwaoAlYRCzegbentUAiYguodizHQ0zr3UDzIAxvH8RofdGb0AAOYAo4qWiXW5DzYgz0I9EK/cRwvgAOwAVZxA0FA8tG1gzy4gNXWgwmwAAugAxiPciiNAAxIg96oi5xh9QrSLBMgJhrJqGqVkPckAQ0xyYz6niEg4Vh/GcWNKl75JLYVDGk5JNrRlg9M8QwmcaDzcM0tcaCLM+969hP+L0FpX/GcK+IT/y3KdQJE8AARzeQ6CIRBqIIraDq4Uz52P3fjswIo+JImUF0IwGQ1tmeXtcwmCNj0/WI5hYODtSk22ADD5Nn7rYOWrYJDYINEELSnAQHZfFKfhQMB6IC9uZ0r+PERPXP0IoI1H25GJeUOdYANUANDexQs8GIBhgAqKNm6uFSdXeIO3QNCIAS4swLlE7t1b3crmIuVsuR2nQNAYASch5p0Nz7j43ksgAIxaPLVvek8oAIqqAIpqHoqmIIp2AA8IF05WIAx6Np0cRFbyqYWONzTONCWmxnN0ia9oqRqxTRx/AEciAEdkJjDDapfIyhFiqeggKgUJPD+bsfrCAVx2RpJFT8nFqfObj8azI0tnelvvTZJc7IeKc6AJpXROSAERWgDRWADR/D8NkAERUAERHCENjj9O5EKKaZnSEZeO3iD00VY7aICTZfRB8ACFoVeCWBde/fQB9iAQkAELPEWOzEKgncAOdBN0IwAASiAc7uak633drVjahnkigZykd/pBSDVRGMDLKCDAb5zlxdtK6h9eX2DPnAER3AiNyB9NzB90T/9NoCSNiqC+Y3RJa6DOWiE9UcENwh9gHCDCJEiRG0IskmohAyTJG6qOLBTZ+LEN3be7DGEKOEYNmvSICrEBwLFknXsyBEghowQIi6JCGnpMgmSFyX+TsRQQsQIzJ0vf75MomQGCRI5mRjh+ZJnkaQ+aQKJGkbJkKRWhTQ1UqSl1qxZXVbdWqTITiFGzLrk+hPtWqVMl5a1utMpXSJkfb51yXOv2bp4ye7Vi7cu4MCG7Qo+3BcxzKROEGWAc9JknTmNFCky40ZRokScE7npvLmMGSdNzD58IHGixNV2Xk+u4+CDmjJM2kx5wNokhEJlkjicomA15ToVBrVxYzrJEOBk2EgpoGdChgsUrl8fgOBL0yJjsMyJXRLOBjdkkhD5TucNxdfuYU+24yADGjNi2AyCQLwkhCkMjSRRRhUNiOfeGyBgBtpmonGmyGZmmFFGE00QARz+Ih6Et99EeDTyCGeheeagiKAlUgZDFRLxkALF1fGGBI6UYSIZZJThRhqOEOLAbia9QYAaFA4hGBFVAYhECyWIkIOQjP2k1JBKxDCCCjkk0cRdQcbV3U5DcKmEl+j5lJVVSXk1llZOMnWmk2A6hZZTYfrk0l11yXWYnXDOhVeeiPmF12J5AaonX27BeVadie3kBBsZsEfcanMEYsgWXHCBBRaFXDHpIINguoYTTjABExMCRuBaa7vBN5EEUJAxRhtUrNgeRREM4kYSTLCxgWSUSUSeG8phxZMQTTDhhhpWCGKFFVUQ0iwhVTwRRRAzfcfAjqzJwQEbYwiRBBlYWNv+3nvxrQYHA1OAxgYWEpTkXh0QUOFGWmRUoZujsO3RSCGcVnopFpQawsUZZ9h2mku4biBHqhTNQQin/1LKaSGFBMzFFl80NO1ZAq6oYR1xMICIck206kSNiQwSh6MlvXEAG2Am8eZTP5Bwwgk7xAygnEClNVNNKqQARBJjVViVXlrtPBNwOasJE4Vz0aWmk3qZ2RJwMsnsJs9xGraYnoDxKajYb72pVGGD4RnY2HzuddiebTOm1WORnbSyHXuAsAEHIOQNAgd/7w2CAU+U4URLWz0UQbt2O6oAbWTgppt4J0GAxW9kqOGBRZO3SEe8YpyWldWdsdGZI4g4gpmDjoz+QUaQToxxheILS7TBy1V+xy5rC+/OmgMUGJLcIAqoXHfd8NoGYBlPSC6rRHfwsYHffFMP+N8IHOHEkDwp6kGpHsuxBx97B0593xwYAMUYzO0lIAAeT0SHyG6U0frJigCiH4sOSHEeojuhJwk5qJkJfkCmxtzlJ0WIWYWAsAISrCAMQ3uaAuuklgqRSS4941NTjlaWnoxJWGDZGqIIpTVD2YkthAIb2AZFqDzNqTGGWhud4iKkO8FtUHEigqIwIBna1UEOEVAAA4hXRAZAIAHEU8ACDCAhvQghca7h3L3esAArJAIRNYgVZXpjqzEUQg8W8dgbGFAINzDhNGdKwhL+xqAGNaAuIY5gw+lQZywlJGFYZQCXu3aTLTawhAjfCpe4rpUqBRCCIFYgZN0kcq7fnOUhDThVfCYSAQfEQQHEw6QCEhCBBCRAAAM4wtW4l6vZ8UoOmiyiJiEQgVd+MgELQMBCXlIEjhVoNXc4XUJ6uQZDEGID4ZFVi1yEBf950AgUMsIQcHATGCChTXJKIFwqtAMUpAAHeCQLmCrIlRnaxUxvksnRpkZCrlATSy8hJ8/K1qQdNgae5tya15xEzWqqjWdsUeEOlYKWfzqJn+s0gqLoNkWWvSGhb4jDQt8AhzjAwQEOOACwXpK4xbUmDyZ5zUILcAhHUKF5snqA5bz+xQUGjLFdQawAIsighFAZIY1k6MITpECFKlRBCoLYqSCqQAUqCEIKWhhDhZggu8mtRlvAMcK3dIfUPOCBPSaBwx4GgbJwuUsi/SlchQRkL+dJJKFxGCtDGQqHB5xVAQGIgut2UoQmrMF7vAsrHBTK0BbVFQ4QcEAAEABIIhEBl6eCjR0iEAifSqGmgqDCB/qAyh29wQFTCANRl2JOJbzAZi+IWQK9trOnJQEIKVjBDgIZkw3axZ9Z6k5T2IIiqvWEnfBELQnjqbYE5kUwYEsMWmI4J8+mZWr5FG5v9bQnfmqNawM1pwoVRYEfsohHxVGAtigoBDNUoVTk2hAgorr+3ThcEaR13agdKvfFdfUuPnLIACLEwJwKAWcMUCDAAK6zAQpkQA/TyUB2CvAEoo4KXEi1Axy0RdQmVEulrAlEHqRayQjUwBGN6NiOyjsFM1hNQARS8EFVCptMgmEMSJEbGzwgByrCb7odeFlfblmFjrXmPXC4gx7ym18LWKACEYADYYkTBwJgwQ1KiJpPhDCEJhjJBCeYgcGM7NbdyrBCPLgBC/AoW6Dck7XiJOGhsDw12arzygoEimuFJdx3tqWauu1nPAEal3nKM6AyeyHc1mzPuf2ww9fa6EQgoAHlBIVj95IIh/jgADw00g5xcIAHGhGIE/O5cmRwAhkWaUj+S5bHC8wMChusEAAFwOGVD4DAQ8/6gAfwdQrJi12GKlyH8qCHqeit5Enk4GhGnqoCjWgEAyjZmv7YigijenGBogvWjyngENwykxMyt6vt7tl4JYlDB8wzlyKoiFzvYU9kHRBZOID72eKZwx6soIYxGK1tZ3FJE4DQAhOYoAcGGzOhkNatIfCAB+9dJz3hksEzAeUtrVVtUrwW5tr6O+D1jGc1XZsYOs9WMH8yLpsZU9yEQ9GfGk/zDQsKXQVH110RMIAb5h3F7A62NXRwBCPE2KjVjJUQf/i48cx7K3DFAaME3kAivgCWIDlECgDg8WvE7R44AGAKyoEdFkiysiD+agumeyQkJW1diD3kPL0Q+AAjhnmt/pghVA4ZUKpS/J5xgbgM4iyDs/fjsbP3UTYfYIOVCv6Q9zHO2MYbLB4CgYhELEGNXKtKc3agAhOoAAhN4EmQZHIXtSiFOcBpQhAYfzQwL1dM/DYLC7fWnXWrs99mcW0MKe62KIfN4UyK20Bre2aGyyzj+PTg22rvT4+7miIOZhEcFOAyCnpLEMNZXB0kUAhHTAGT0m7RHvrAK60ek+kLeH6LPKCIILAzisJ33kZVSYU2gEo9xFwNrIc1SHHPahCOuAKpnfeGvp/YbnFQutXGYIWv7jmhes/kFj41liZ0D5/pnUksWrU5QQf+nVxEEFZspFh6lUQeJBLgbQVxMVMS6IAKnEALaIFPhB7tsQVzNEHMVN6QlJA+WVY7WUUM8VMGvUQHkklfdM3UxJCZvVPsqVlurV7Y3MnjbdwLxYlACdSSMJwt/QSeRRtFyIEcgJscoFWo6RUEBIABrE8eVUin6U8lyQEDcEEiYEEGZB1FeFceuB1s2JwTcMECPFuMTcQFIAITfNNZmIEgNEDWxd1uwAv4pYcV5JyGEJhS7UTu8BhlMMAgKAIagEDznEociCHnvIvSoQcT0AsAVJLHnFUEnNqpOVREQcACZM8BJkVHeABSpRe4PcAbXCJaOQAU+odpmAUkbt9gicf+7jFgcdxNFbTBEnxFwikBDqiAUSBB5TlZT+TgT4BJEVSeDEIRCXbgWqBHiyFcT2gJCQaXlhANbqnZDSFKmf1gYGjjNdITmqCNkLAFlIVNcFlcneGgSxSUVHnMHVjHO2LHdUyAB2QAATwB6ASQQwjCFfqRBBAMGwhfIHIfeZVX9DkBGlCAauwOcdxBIYQd1RQBdgXAhqEKb1BB4UAiFjzWfpQHUckaI5XEILaBGQwCSlHG+8XdrykdN2kYI57EHVwHPFpABliAHlzABUwAAXTB4plJE2QOLUpEHlSAdVwHTebXBFyAB0yAf4mBE+xFsRDCJNkNI/IOZTwABiAChnX+EM8wBwv0Yk4M2QhxWQsSoeW9yT3VltVADV8847oFHFlQY1nGyQyi5cLZFprJU9KQTTmOZXDB2TzlE8WZIzzhigXQHEXEQR80CxU8S2PiFE5JARTYAB6hCCRWAT/WDRxMwBk4gRtsAQiQBMiJi3s8wBklgROsAQVMUiPFRsO4weh1RRlAwQAwAB3MwbjIigPECxMwwRiUpEsqFXqcX3H0xkieQQ2IFHkRkxw4IkwIFvftwWE9y2NWQbL0FE5BQVM6ZUw1wYUoTHHIwR84C3VeJ05ZgRREwa3ElLABpNPxygDy3hWVRuyZRXMowQ2MQDZRJpmNWcQ9Y78NZuupnj7+BeaVyUQQUpPDoVDDzZlyEeEQQug7AYabQVlgWuMJkRk6cg2uGBRlNIwiBE8biOiItgEbnNu5McTisacV6I/bVcAZ8CYbXMEEOBhujqYdkBRDOEEbcIBCwmKL1IB5MMFYjIUTHEEN1EAg9MFtwoe7PMBFNoQbXAEdsCZr+Aq6pQe4oN9EKIBv7CgXTMBdDVhFzp+tdIsZMI8ovlpBIMIafISJssFAbARHTMjidUuJfeGORMBlkOhG+CmcnlsaGQ6xkME+5tJJWAS4ZeKJsWMqKYDSCR5XDsENpEAK7ABVGI009iW/meBatFOGLklutYSCfiNe5uBw2WWothkN4lb+va2QxIHjXzIcNZmZnL3ZbOVTYeaZSdDBZTyIg7gBhARraJCBeZjIhIxdaFLGi/KmE6TBB+hIRY7fa5Qm3SXBGHSA5NgoRljVhBCUENzGF3zUItzBmCJPQ/gmKmmItpCBSwxSnlJEl5aBEKCmcBSSA7pHBDhikHjV+NUBHIBA6oTGr5DIwP6KeYhYnTJB5rTajugaZmjGwBZsaMjIjABgZ17me17EHniAB1gAUk5ABawHVdaBAlQbUghjWgQQD6zACiABZdogOcFZ693lgKZZgb4ef4oZzV6Qf4KTclmjgwbml83sEJ4ZxFWcNroTqELoGEBGo5YEHRCCIyTHrxD+hEAQLBsQ7BqUQeANG2ZSRAVswbx2ZiFIQKMYW2uQlLwIQRlYQQKkYarEwQYcAhvEiMlEiGc0Qh9s6WTAi0slgbqAJEUUGItl6eD2meUUAaWhgRc6oHL2h/8EyIDQWkWAgCEoQkIkQkK4gdZqrcH+ynkESFx9Z3rdAZ8qQnKIzJxuruduyxhIyKgYKi3igcNsyiBcwRX41AUk5+5AQNTZIFgIhQ5cqk6k1pWZTdJgjQ/6Z2zBmWsdKA2Zo5sMKOnZUBDSIM0yrziio9bsFjiqnupp3PbWWzn6BXCogR7AK2ICwnRWgbIkC3XKLxRAwRLUiBTAq1QxABqAihOYwRr+1ICONGB75ChwoGYFrGZxuMgHYIEafG7nHkIhAEK50mLJUoGIXSsWrC9FlEcZuEQZFAIDGN1JyGsRMAHGwq20vV0jnscQDNtXacgFNAuyLEsNV+eyJIsVQIEOH0GMegDRpZdhPWYNKwsOF7Gy0K8NgE4ZCALiToQFYK6IlsGIosEUUOnzQYDtDM3RwhcSSBCRIA2nnt6nGpdi+EUIKZcZB+jSAu3X1GDSxurG3SUPvp4cY9mStJDsJRdc8GCEzmVQuJEYRdsb6MEeJKUH6FfHegDHKjIiZ0AGHEAX1MiLbTAdcAGG0asbFEIGSOUAKkCQDc2O1kAC6Fyv0MEHEIL+pUxMIQgCH5xtLJaEAlAB4HYa4vYh+GlFGQxCBeRZjMmrE7iwGYDBBujHFPFhHZxLsBVLvRwhuTVyx2ZAI+sBIk9AThIAC5ybdzbpqVyAIT9yNF/ANHesOOdXARSAAXhBb25fccCBHoiMxVIaGSRCGMliZnpAS5kTM+mMUAAHkZhJwFGc9w7mPpEvx/kxOMreUtjs1gCmXG4j7Y2TD+aFCsUqGQO02GSjWwQmrBaZSwRynmpIRGHSSI+VA5iaokrUAETBJI8V71hy4dDrjlYBSlUlb5gmVpjBFlBAjZ7dv8aBBHjABmzAHujXWEEa/MgyBpPBIFwx55SHJ+pyBbD+Jmn6xgJNSKe9so3KSuQeTGo87kRoYipCwFiP9aLFwV5lEgP0lRoIxB5AWu+sxqlBgAKIdVlj0l5JFF+p9HMQmwJPwCG4VwhWiUOwAQgsFPHBwT0HUpOMIHo0B0Tmop5w3p6gWWFYkNvs8W5NaPLq5c54DVyWE5FZ9rU9HNTQEJ2cMZHl0GJ03gEtqGEERh7DdmFM3FWQASIQwB6mHAGWVT1PBEOt1a/0dZPWwR1wgQdjhckcwgYIsN4pwCCQQQgWwRe0QQ1AgP7FmLvo1RzQQRx0t1np3ZOiUeBeAVapFAeM5FhENa29RgIMgtotzRi4wQeAWk+Ppiyr3eK2ATP+61lFEK5kSAa3fQxZOYABsDUbuPUYrob+jdd4SRV7kBV4HRMbvFhVxsEE2C1zDAFVXCsbfIAswscFHMJ5sJPahN4EgragQFxr79AKvlnUlC/aQBxsm9450iBnl+BhsDhGa+hevvbayHjYfK/YWOOh9FZMLQp0qSF8UsZPX8EUV3iiScQFeGl3KEoVnG0dtkuX2gqRmgEXbICYZvfCNFSNRteT2obJlHei7cYGgN9YkOTsuJ17m4GGC5KUToAALyBr6mtpLK5XU1LIDeAb2I5AUEDp7h0xKbpKSXixElug/2sGsIEbDgmXAAcbTMFYjeYTH4IbLOOW6IyccN5XUG/+DuGQiucJ2cRgqrO6YeSxbAd5qteQaet42nDNxG22kCdcDdlJrZdxrWv02LhFkbYBBrhnjw0wi4zVFpiBIjxBBMTf2VUA/7YYgiHCB+DfMSvAcTfjp7SBFXiAmML1fjTKy1UwHMTLAZZBeavhamSLcqj3LrNIAhiCbQyJcKrBFND0QiaavrpBkbqPoMNdTZ9EgXWuGySMzrlkA5pLkO33cPChZqbBElhecwQHSEetaZ4Tv6FQwbkqn2Cor8f2rrM6i+e6n5RvoNwJyt+4+UrvrGsQjft4obA2nqxNzYfjDKnNXhSpG2gADGtbsu+Ik4toFSTAwGfhGdT5mGCsBcT+3yRORgJgQdiNuhlQeAZ4G0/7a5W2yAN4XR086ZtLqbWkpK8cYBEMEni692+AyRDATiF4QLQGvVal++KWgRTEytv1UX/vTsu4gatsgEKOu8Yu4GAtQPC4T1VqpqcQphtQgfJBehxgwe2YqggNbWeHo66X75yIPOvNOGrH4Ku+ds2rmw2l+gmFvA62+poJCkWncasXF68XilPcRWdphRkUeymyjAK3SO8LuIBLVBQINwDI4lktgNJjjUuYwSHUQBwQyIP7NxSy1dOchcl0GghIAEPpn6tld0W8QQWAAB/sWELpZmn47yLJInsUOLwL0rpsmELJxhW1sGNDohvgvW/+V4QCBOmn2K8UBICYAsSbOgMJFhQ48GCdhHUabHAzxg0BBRAUwimIUOFFjRnhJBjkps0VAA82NhiwxkkRIiuJCBHiRpACixffxHEgRY0SlkSMsBSysufKIT2FBGXZ0whSnkuBMk3Ks2hTpVOdLkVaVKnVqFORZu1qlWrQrkqxhu2p8qxUpmixWtWa1CxUsXKfup0atapduEWcrDEgAIJFi3HgRIggRzAcxYvlEI4jRw4EmxKisHFTZYFkOBAgRICQYMCXJkOE9mTCppCeBnQePIBD+HUcBQJskGmyMkkRvmbYROmQQUIcwgsvIlYc4QIIQ40GMHDAIICUMk6WlLH+skAB7Nh0AiBg06RIEjJRBmQXft7BACtklCQZupIJGTAbsneOHGGzHAcLprhh4kQIM54IQALzhONsMTiMey2wBBOEQIED2BhjDAMSMC87OFxz8LjC8FtwMQUW4KIMAQWQqaY43tgsAAK+AFA3I3RzwgzMEjAMwdcUCOAAJcjYCcifmAKypZ2i2qolpdCi66urkkJyybSa5MmIstyK0sq7noorriubsmsplYgQ86sowQIzyqfQ4srLsfQC0yUnxECggAw80ANPPTzIIAMLPLjAAw8oyGBQPu00NAMNCiggCjLKiKKACfQgNIML+DTgxSSIIG2lJsY4RAo+JwjUTg/+LOCT0SZu01RG3ShUw4opOMhgAgYUcC2C1h6I4MIEKNigBiq4UOQQBDYYoAACbBijCCYerfPOQyfIgIApklA1iCQgJYBWO/UgYNEo2tvJiPjc2FZURPcsAAoxmCi3DBsWpXZSRAkFFNB6+dxz0n4zGOAJd8tAgABuCai30EoDFVRQChgO1N8MDOCCDCZsMICAaKcddQDvnHAiqSJkDHALDTCgdN8MFj3AiyLJFXLIITRdCea2xGqrqq/ssnlLteZSkkq1yDxzzDDbNLrKnqdkM2m3wPQK6Z1//nJqoJ12UsqigUrKiSigsALssMUW+4qyy67iCiuqGCTttKPwouL+LqIgG+wroCjDvbyJSMIIJ8pIY+zAoVjCiSZgbtUIMshQAwywqajhgw02+JPPDTjgINgrzlijjTLY2OJru7twQtMmvPg6cCyg6IKMJYyQWYwo5i4bdStsaG/mpI1IYgw15q5bcLihaqKL2tu2wuxB1g48beTDThuKKK5t4ojawUb7+EGsYNtsswO3AooxkmDiCxvA/vr3K6qIggkmioRLCE9t6F5s1W0IAi6iydqbU06HpJpcRjIKzebyvyHhJUkEJNICFchABiLwgAOEYAL/N0EgGcWCSRogBTcoQCLhBWcLxIsRmrAEMahhDGxQ4QpTuEI2lKEMbZDhDGnYFzH+qEoIsJsQSFxIur0lAYhD6VsZlkChCblQhWMoQxNetykqiUw8ZHhIG9awBS6YrQp1i8IWzvCFEhUuCM6i0BjEwLdNNYF3KVTjDsk4vtEAUYkydEIbkjgGMiQhCBR0SRLKAJEyiMGIdFQDCttDlHKJIQwrbMMcU8g5GU5oDEoY4yQpyQQgMmEMa1ChGlRIxxa6cA1rFCUly7i3JbChDWSkkCYplAQhANElPynKHGOoxkaGcgk/qQuTmEKamREpKwFciZmiZsC0aFAqYhmglJDklWa+xWk5C8qShhnNYjaNLYY0Sta2WbSgHImZdWFT0IT2JZqtRHGqKlwTbNNOdqr+swlmKIIZmkCjL5qBnrfpCTttQ0/FlcE2r5SZzPZShHim051mUFxKdkmlHGaLDPi0pxsoWlE3KC6i4CGKJTOqKtL48p0hxSgOiVJPeZ7UDE6wjTaXND4mxFOlGcWobX4poyg6ikYpoefH4qkq8YhHVSN1JxqDED8zXFRx+GRnFIGqKqc+9Z3p1BRp+OnUmCrOlXsz0pjmWbglwtBv9KySyISZQQfqcoQGXIoFnSRMpqT1SwjEYAHnmsANfhOvwFxg0yYYzGh2MIAQVJpbG1jNpgg2gHn0aRGEwNjxDdQ9QnCfLFvChDC6xKDvgplQXGJJS/qSNCQMmmh5ojdLBuH+NiF02e5k+bGP9RGTlowiGt3DEtIUJX5OdGJth7DHPA7BcC0xHP50oxvJto8JQoJLyK5FhDA+1pWPldmm0CoeJZRxCUxg7B73CNmPunIIoK1Ska5FOM8CyLJDCGNvLSnZ6A6hvU4UUnhJk9zoVhaIPgkSzcYnhCXgsQlMGEJxyYqXJdVMhEcZrVnc5KY16YVpZ8ofV7bUpAkrrcIZppKFN7xhDD9Nwsv1cIeXBmIRQ63BUnPuPnVplNyxpKY/1JQuySqUEe/NJeGlUu7g4r+k8C1kIbNxgmNJOkv6VFNAzO9HXaZfYN41lmKJkUrcx9BzBq0oaGxKfvPmy929Tmb+Sr6NNbWKmwXyTWRfNlyMZOSEvRWQgYClbw6XHJTb4M+BJNydjA33kzRP2CffdDKQxPTAvBragR5UtFk/CFgREiXRejx0pCl9ZUtXGtOMbiCSopI7ss44z2aGpeHumr+YcfWuFySXjBydP1muSoNBcY///IekrK56gbohp4eZ+KTxCqnQZP41EVS1YS6/2c64cbRTDPoknsSIgEnp9XKfMm0mbi0onBrvLw9nZhuL9pdOcYmQA/1WwG7WZeBMcAItCE51l7uw7IY0BZMkS0PSO0j33my7561A3Cbt3wGva73LrW6DzxuBB190SwI+JkjX2iU4LtJPbgsVdsv3fSL+y+Gzv9wSIT4plgwHtl8pe1jwEByEuoVKmsVUVAJ2elNDwUqaRS7yWEaFUy32iSxLrjOHb5Wy9sZtS1y571aJLI+NdXbEm5xoFzt8SWIS0safvVfqIliI9EYSvh+olnxz8KyZluDY4xxvRyv80V9vNKbTbk6us32ZiH6yjHCcFVbter9CAvK8fR0VqQOlxkDRudetpOhYs+TPPbtgQcu13JkjnNoNxbaIk6CTo6C7SzxG9+LXVOi0qGTKKba6X81o02GymoBkjbus2b6TF4NFnB5OE9MuvGALV3jEuNc9iRccYgrnvsEZvj2Jax95418Y0CcuPofN9GHlN+XPaS7+ishUT+1kNtrVy028mIQYeN0LfyzGH5KUrW/qo7B6udMOck94nPgbc7wuQRz/5PcCfjJPfk3rDzL1tT934+sTKcYM8Hbpz27M0VhFmQStm5LPw3bv+MIv8hoQ9pDvAcuvAiPQAiFQwyhQ+Iiv/Ews9yRQ+S4Q/B6wAZUvzQCQwhisgzBM1oLvA0dLmoCvAE3N+joFTBQMA/WsoUxQByOwdHpwBdGv/npQByEMBY9P1czor5ow9swP11ov0lIsAXuPS57GBV0QBH8vLLBQCwdrBGVwaRzwBE0QAiVMDE2MARkMCa0v8UhwDXcQA6WiBqfECs2wS0iL2GpPBL8wmSj+8A/NzygEMAEtkJw2UAmPsAx/D8RyUNWicPGWza/0apuosBDhEA+TjwNJcBHNsA/FDwY50RO7UAMnEBPnUBQzcQfLcAZNkQN3bRTTsMT+iip+MPII8U0usfiuBg5P0ClO7BAlsOzAMANvENNaEBKlUBk3UQS30AuHkPdIEfacsRSp0BSjUQ1JsRehURq78QPZUBt98RTHUQODT/1O0RXJUQnH0SpKrxPVsQJZsQTRUQ5xz2dCTRnvMR8DiBiHkByv8fYw8R1BESDX0QNTkSC1ERXhsR9BESF3ERi5UCCLMfxkEcLUEPjqcR3n8RufjyFrMSAvkBrLcbDgTq/2cdn+jvEbqXELO3IlvbEb21ATFXIDW5ImDZIbWZIkvbAlxbAiE/IQ4/EMSZIojTEmN5IjD3Imf8YPt1Ef36QBa3AgrbEWW0/xVE0S1QolqeYmRfF/qvIeY1InR88Zw3IswZISHfEoG5Efc1AhkfAXjQkLFWwadbEivc4bAzFncvEoSk8O6zIaIzIbBRMkM9IpWZAMJ/EYxXExI/H+bHEbP1IyJ5MyK9MyL/MjpxIzHXIEN7Mz2fEzNXITHzIyN1MmHZHSoIawyNLt1MqvlgknNfMl33Ita/M0bRMMz1Im15AvcbMZcVM0f1Ioie8TR5MwVTEhY5Mi5fEnN+wNd2koERP+OYXy+4JTxBizKmmvN2XwGWtyI91yMddSN31z9cbTPNHyCMmzLM2yNrPQK15TLF9TLc/PIrXyF6EQgKpGNbFSLqEzBLvp/Z5yBefPmrIzNdHwKtkzL9AyPnNRMLdmJDVTJ9WTQin0PLuTNy2UBS90aiI0N2lzLlFsMDns/AjTJ/XnRCMsQ0OUw1QUHEPU95zPMBew7OgSGVOSLk9SEe1zH3vUR38USINUSIe0MVuTSJcRSBVzKysNR480R52UsLwz1QzUnCZRLNnSStvSNkNNQznUS7v0StPzS8HTQr1uTLuQJRW0MJVUS9N0PcF0LNXUPPnyIPOiRuNuR51OT9v+8vrIEyjhFFDP9EtXNFAB9QoL1SIPdTxjETh7ElFhUlClETLdxK2CqUP7E0szNdWglFM71VM/FVRDVVRHlVRLNUiVyfdMVVVXlVVb1VVfFVZjVVaTlCBn1VZvFVdzVVd3lVdNtWqEsVfTUj3F9FEj1ViLFVmPVVmTNUuZdVmfVTxd8TGDlVqr1VqvFVuzlVTRU1u71Vu/FVzDdVe5cFrF1VzPFV3TVV3XlV3b1V3fFV6JNEzjlV7r1V7vFV/zVV/3lV/ZFU37FWADVmAHlmAL1mAPFmETVmEXlmEb1mEfFmIjVmInlmIr1mIvFmMzVmOFdEs31mOJlS0/dit9Mzz+BdUqoRVlnVVlU5ZlEdUkVxZmW9Zk8zFa46xC6VFmY1Znc5Znd9YflbNng9ZnRxQ0bfI7h5VJhVZph5Zpl3ZMp9Bpm1ZqUfNl1zMtRxYERVZrQZZNtzZpO7ZkmzVOvzZqy3Zqz9Zsy7VN0ZZteVYKwZY/m9Rr55Zu69Zu7xZv81Zv95Zv+9Zv/xZwA1dwB5dwC9dwDxdxE1dxF5dxG9dxHxdyI1dyJ5dyK9dyLxdzM1dzN5dzO9dzPxd0Q1d0R5d0S9d0TzdXixV1U3dmvVZq1XFZPVN2Z5d2a9d2b/dPBxV3d5d3cbZpTzZZV1dWg1dkz7ZombV3k1d5l5d5KRP+WpsXem23bIWXeqvXeq8Xe7NXe7eXe7vXe78XfMNXfMeXfMvXfM8XfdNXfdeXfdvXfd8XfuNXfueXfuvXfu8Xf/NXf/dXW9u2a9PXfxmWbScybYsyeg8YgRNYJANYgRvYRH8XahmYR8tXguU2X/3XKytYNh2YgztYejXYg6O3gPmXhEvYhE8YhVNYhVeYhVvYhV8YhmNYhmeYhmvYhm8Yh3NYh3eYh3vYh38YiINYiIeYiIvYiNUXhC/0epMYadeVgSXVX0eYiaV4bNN1ipvYVrsyhBmSiq+4i412i+HxizV0i0MWXb0Yjcd4grs1jUn2VrOyjbMWe+MYittVgs3++FzpWI2n2Ir3eE6PGJADWZAHmZAL2ZAPGZETWZEXmZEb2ZEfGZIjWZInmZIr2ZIvGZMzWZM3GUr1GE5B15OVOFtBWJ/WOF5DGZWNdV/juFeLTU5TuY47F5Z1s3/HWHEs2F1nWZdF+YL9+H9tNRFsg5PNNxGCWQCHGXyN4BGC+Y5wGZlRtwkg4REeQZif2XvZCRKk2ZiteXtJiAwSIZu1uZq5GXsV5xHCeZrTiZytN3G++ZzReZvXmXrZKRGmOZyzeZkT4Zjl2XTd+Z3vWZz3mZ9DN3GK+Z8BOp/vaKBH15vrGaARupgFeqE5l54f2qKXmaaceaIbt6DB2aIfGqP+JXqjK7ejP/qjQ3qkNfebPdqkQTqimTClJzcp3LmlTzqifRllH3eXVXd4o5aeD7qmIZoMNNqOcXqn3VRh23Z4/TmoTTqkj9qNOdqo3TZWB3ilm7qmn3qqCzWMu5p3t7pnEdhsFcehsdqpi3moY9pxf9qsszqiSxmqrRZx45qnWdWq6xmo29qlx1lf6Rqsf9lgp7aqmwCv9TqrUVqtD7ej89qwQXqZXTmxB7edy7qx3ToRmiuyBZetK7upMfpHMhtwf5qxOfui4xm0+3alR5u0S5uvT/tuScigV9usp9m0XdtuN1u2sTqfRdq2RVa0c7utEbu3XTe1gVuvhXu4fZv+po07uJE7uTMWtimbuWcbrWH6uS8Wt6c7uJn5ujM2u7V7u1u7uyM2usG7smlbvMe7YSfbvDmbtiFbvR2WsKW7vQ0brXk7vgm2oVW7vjv7pvN7YUu6v0kbpf26Zu3WwJX2SFX2qvl7wIPauXs5wdF2bl3WU73Znh98tQv8r3n5tTs8iRf8Wc3ZwTVct2vbXid8eiu8dTv5t018w1+aqAF8XV8cxmNccWgcYAX8xnM7wnW8Xnm8x30cxYH8lNkpw4fcx3/cyP31u5V8w6k5vZtcXZ8cynH8s6m8XW38yoGbybVcXOe7xLvcsD0bzK14vskcvNEbv8/8WjF8zNW8zB+mu83dnFq5XM6Ne7et286vlZ5ZOs+1+8v7vFeLO9DN28wJ3VqF/NAFfdAVfVajO84b/bzvG9J5db8nndIbO5/5/NKH18o3fboT/dNtVTyKWdQf3LNnvNQ59c9TXcOf2qtnF8SjdtZvfTJHkh1JHNZVXavvVcWdVXDhdgqRPMl7vb4TWgVxXTJrHYOZHdozWNdJEM+Rvb3T+droNdhZ1m+xOM6YussDAgA7</t>
  </si>
  <si>
    <t>R0lGODlh9AH0AfcAAAskPxgjNhgtOz9LOE9XO19aOGVnKHVsMHN1NBo3ShgtXCk8RiY7XQkgahUhaAssdBYtdRE3djU/cD1LVzlWXCpIZztLcTlUdEFVR0lXXVNjQFFlXmN1XnN6V0tZcHB6bmJ1cqQsBLcsBKA4BLY3BMsoCMg/B8oyCJ9ABKJMBLZBBLlpBLl5BMlOCN9AHtZdEOFPG9BqC/dfOeZqI/htO3WEbbSqJNCSDdmGE+mGH+WUF+ejF+axFvaWKvmFPfilLPq0LurREOvbEvjRF/zeFOzkEPviE8PCPvvCL/nbK/zPMuPQMOrcMPjkL+vkMpufRKmkRLq1WZaWaoWIdImUdJmidqendKixcLe1ffymR/y1Qr/BXbzAdtDDQdzGRNHNQs/DWfzDQ+HQT+jcUfblTunkUuvvUcPNYcLMds/Pcd7QctPYceHbcNTgbublbwgglQ0tkB0ukA83lR46mS0+iQourAs3rjBJjyxCsDBNvEdMhEVglVxuxFR6zERr1GSK3HCE3HST3paXgKmzgpKlorzAiLvMjcvOi9LZi/vwltT2tICn6Jyq5Jq/4dzi0Pz50vz+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H5BAQyAAAALAAAAAD0AfQBAAj+AIkIHEiwoMGDCBMqXMiwocOHECNKnEixosWLGDNq3Mixo8ePIEOKHEmypMmTKFOqXMmypcuXMGPKnEmzps2bOHPq3Mmzp8+fQIMKHUq0qNGjSJMqXcq0qdOnUKNKnUq1qtWrWLNq3cq1q9evYMOKHSvTCBGzaM+qTct2rdu2cN/KjUt3rt26eO/qzct3r9++gP8KDkx4sOHCiA8rTsx4sePGgclKnky5qxHIjzNj3qy5M+fPnkODHi26NOnTph1XXs26tevXsGPLnk27tu3buHPr3s27t+/fwIMLH068uPHjyJMrX868ufPn0KNLn069uvXr2LNr3869u/fv4MP+ix9Pvrz58+jTq1/Pvr379/CJo0VNP3X9+/bz49+vvz////7pFd+A1rEF4IEBIqhgggwu6GCDEC5I4IQUVmjhhRhmqOGGHHbo4YcghijiiCSWaOKJKKao4oostujiizDGKOOMNNZo44045qjjji3C9eCPEQYJ5JBCFknkkaEhhOSSRjbJ5JNORgnlaZdVaeWUUmaJ5ZZadsklkgeZxeOYM8Xl5Zlfoqlmmmyu2RmZcMYp55x01mnnnXjmqeeefPbp55+ABirooIQWauihiCaq6KKMNuroo5BGKumk3uF15aWYZqrpppx26umnoIYq6qiklmrqqaimquqqrLbq6qv+sF7mF6V28hXrrbjmquuuvPbq66/ABqurYLQWa+yxyCar7LLMNuvss9BGK+201FZr7bXYZqvtttx26+234IYr7rgpAtbmuW6iq2667CII0brwtitvvPTOO9io9tarb7787ovuQ7L62+/AAhdMsJOenmXwwgcz7HDDbyqUFrkUV2zxxRhnrPHGHHfs8ccghyzyyCSXbPLJKKes8sost1ytuRA/LHPMNM+c17s152yzzjzvTGrPQPsc9NDxAuzyeZEJrTTRTC/94NFQRy311FRXbfXVWGet9dZcd+3112CHLfbYZJdt9tlop622h4g53XSC5ga8VpWHyU0v3T5GaLf+ZnjXvdjeV7pFYV0GRWb0aPMRLpCYjA808V2JS2mp4I8v/ldbah1uV0FiPvZfpwpb+bbDmMPcF98TB36zrApnPp/lPgJun+h09W2g7a03buBcAeteN+G4Eya7pYDTLnhCnVt+Z+VYMZ9T8oUfbxH0IlFPkJmcm4e5ksRqjrz0mWf/kfUcOZ/6rN875Lz6ym9+PvawCxi97+Tf7Dj414cZ/vL7d5Q8+ZXpXP1wNi4A5s+A95MY/hLIwJq8DoEx2R4BD7jA8UXPWBAk4PpYk0GhALCDZNpgQzoowv1JsIEbgd8F9Uc98/VvhC9MIfNKSEHu0TB/gHqdS/4nNxy6cIf+rjseCRV4w4o0LoYozJ4A/dc+DoHQiBVUEuseGD/9pS944Rvg6VSHxO/tbm8UbOEM5RI6JVbReqILIs4qZ8DtiXCIRawUGUmSuCeyLn40/OClKFfGNfLxcZVLQuF6V7s7VnF+i7tdHe+It0Z+yoQ2ZCGmwmTI+z0xiZfMjgpZeJHzDWQIBRmCINNoySh2MZHG+18TzVg6IjQhiskTJCivNzw1Om6GXMzbHlWHrxOK73JoSYIRhCnMPuJQIEmY5TE5yR7FmTEjOvTeHNMnSEr2kI3tU6Yk2xdHgWiTi5ZkYyXBWcpFChCLVipCldTJyLeY6YNlHOfcoFdJKzKwjuj+Ad4vu7nCZR7TjlnE3zfphj94pg6b5stjPJ95wHNSEaGhY2TwElZDPHZulAnE5x+5CcsYKjI+S1zi9Bg6yHqyD3ZiqmZJNxhLRIKRe9JjaT0HyjlSLvSkv0SeTWlpN4JC0ZoB9WlOdam9za3SlxFh6S2Fqk0iNLWmAVVpPyOZ01NKZKdNfGru5hZECc5SqwQBq1MdAspZOhKrVDVe+lA6EIzqMXDuEecqryqxdWbKm3j95FjFmkjXqZIhhESr9b5qz4ZeRgjGBKtQoXrMsn61rHndq17HitchOFaykEVlYLuoTDD2UJKXUWfoikBadurUlOtxZkfYaRZ1mjayeSX+LGXDpE4hsLYIrQNs7krbOb4eRKtavRJuces9ZdpWqmF1amZhm9yxmqWpoExmKGnJWiMQd6ThW25ErStc0qJVsyZ9T2j5KREhWJcIiI0oWacbVsat8yy4FaN84wtA3052tgfxLm7TmwTp3rGp6fVmNdWZBCEgN4X37e+BlUlfI5j3uuE02mkRW7nSVve+pRycg8PLRPN6WGKizSQRXHteTP6RbuZt7kFsy7oAsxfDtRWwZg3i4rYOBLEFLkhpEdJfhqT4iDZG74qXCGH4uvbGFNlwfIWM5PFyeKm9ja2UKSvbKk/ZylS+spazzGUse3nLX+4ymLdsxBKTL8yKVQv+Yn+8ENtW97Ag5C5B0ltk69p2qv9srXlDe+TTtpfF1nOzmHB8kB7XmCAWZidid1yEHI/SLIhlgnVJ3GCeipbJ4UuvEOjsXdseWraJfLAQnLDnD8/ZqYKkMOeKTGHyRgfLCKGwaFOMkc4KGXqHVthwuVsEFluYu3Zt8VlMLZD04toITphisWfr5HQeltI8NCd+S4zXRbeWIIJErmXnOuJEhxjam27ChrnbhF7zdtKTNje0iZDjZQe4mnAm7Ygj8mA579cgolRpZs9LT2OKB8hERHFBcp0++jY31++d97B5zWvektibG67xnmcrhHIbErGinKXD583avnbuwfDl84r+s3oZJ/QavWhpwmWHHevFedtxtWX4fsebbP0mkp27Nm0SXvlJZfa3CcL0NGmtTevKaZrhDCwrWtJrWVGinNoZJQ8cnw7ngRRZfZB2MKaHQOvI8jvFazbwokHeWmCrRdJDeO6p87fnI+PWsdLdtNw3jd4PYzzscxd63i96608u3buQRm8Q1HiZbW/b6ol273hJ7GG6D9fidd803QyOXqlW07jOlbPkNbXiVtO9fxv2Zr6d3m2UG3Z0B5tI1jPN1tPtWesQH7RzXR56/KY6LbSmL9llBUr3oresFA5C4AVn1iLwHMpGeOwtd83DS984eWsmcZW6LhDpE9bDzT7sskH++XqBmxWZpC/2mj9eTIz/tu79pfu4ZQ175c427TiELBUtm8zQKryc4QEo2Oc86EvGu72X0QQ8V3FNUG+iNXg+t3PbdT1g12v9Nl5CwAQGZmj/Z0gEJUyLhF8ex0uuxV/TNQTqVID1BmyvB3hm0V/mZATi1nVPRXkUN0zsFlbB9Ti2xm79xQRL8GgBJiZFpl2AxVsFMUrY11V3BHarZ4Smh4RKeIRMmIRNuIROGIVQOIVPuHrxlWJXeG1SWIVbmITF1n9fGIZO9XGZM3FIaHpoSGuv94UONmpmYAZkEIcFCIRCAFlcF11r9nvut22yFlkx1wRkAIdxKF3IFHrmFQT+d4dZY/VhTceH3GeHksVidKdNs7RzgWgGAmgEwudT6TZ00QWBNmhZQdBrGAdZfViKjSh6SYCIkCh+Y1dZ91NxcTiLBagwBAdqTlWHGqhxnYaGt7Zkp3dNynNExDiMxkh4x1iMyLiMytiMyUiEbEVGzsiMEZZbyiZko8d/ofc+fWWN4zZ9pGUGZVAGY8AGbTAGZWAGJsdf+7ZzAuhdChaPMYhzyacWpOUETTAG5cgGbOAGZKBSpTZpryRul0FM7KaCZ8Fzz7VzrENMCnaQK1huwIhkgMiPaiAGbiCO+tV/pFVuTeAE+KhfuJVMSrBzTCCABGlWfNZoO5dMSicQToD+gdkmS4Nmch23VyAoBOO4j2ogh+EVYL0XgIIEdBrYWmZQBDbpXfB3dIgkPtP4lM9IjVIJlVMZlX+FQi1klVo5VM+3ODgmS8pzhleZafNRb5tmBm6wBVcgBU9QBVWwBW7gBk0ggdnGfZYoh02AibNIi7T4cMPmhmywBVYgBVJQBVaAkWTAdfCFXnnpBG8oiHs5i+MYiIDYBEsggJG5l4C4l+mIj0OoMGYgBmBgBYLgllxwBmvwkZs3aSD5mOp4lIA3gXP5mm/Ic2kngK+Zl//YX4dHgOroBGQAdE0gfIA4jo5JamqYfBUnjmgQBYYpBVYABm5QBkwQUDQmgGVABtn+qZ3H5zjL6ZqY+EpZyVNpQVzJKYbmCYZomJ5imHvtqZ7smYY8+J7ouWxMdp5WqGa4d221d54K55/uqYXj93QGQZJguXBqRIWxmE466QZc0AEYQAEVgAEbUANW0I+Ghl6kRgZjIAb8uAZj0AZssAb8WKJqUKJj4JgsVneOmQZV0AEaQAEyugFSoAb+WGAhyARlsAQiugaIsAZroAZCeqIkCqQkygZiMI5l8AUiygZpcKJCWqJISqJpwAZfUAbwxnV5yQZXUAMbkAETQAEVGgXTKYKsxQRiAKRu0AZt4ARfIJEpRQZiwKZtsAZfwASSVnFL4KFfAKRs0KH/2Dlougb+VboGYsAEIImUY3CkIPoFINlqDuaYXFoDGjABE6AHBTAFWPCn+GiBxVYEeJoGVIoITnqoOfZgTDAGX/CjaMCPJ3lyXalK43lQTulXtep7PmSruYqrUcer/dR11JdAE+dDvtpV3XhFAydkScADPJBx5Smf3AhI/FcGbFAFG1ABDBABEQABEMAAHmAFPQmQSFkGUPAEU0CYVJCu6rqu6ioFUGAGKzpqblAIU5ABFfAADwAH3ToBHUCmcMoEZNAFTyAFVDAF7HqwBUsFbBkFbRAFT/AEVCAI60qwCEuYYiCeG2YGa/AEGyABCuAAcAAHEbAAG1AF4QqC1uUEZRAFhCn+sYRpA9R5ZGg6sO36BEtAauRamAYrCIQJBWTABK7FBF9AswrrriDpBG0wsFLgsk/wpqMYWkJABl9QBRpgARDgAHEQBwrAAAUgBWwAr2volR+ZBkQrCBI7BU8wBj0WWk0ABi07BTybtgcGergDSVa3TMkDYWOpt8vEtw3kt010XcOFR015XfLEUdWHt4jmlWhBXLVnSUmABDfAAkgwZDE1YUJWBGXgBldAAAoAAW8AB3JQB3CgtQVgBf+4aPfIBgYwABmgBxKgBxNgAbRbu7R7ARcwAQOAAGzQqY1GBmogCB77AG9QB8YLBw+wABygBmZgZxwKBQQwALN7AXeAu7f+W7sXYAG4WwEaUAWK8AQkywDUi7vZO77VS7t6MAAE0AVjYItmMAZXsAEM4ADFa7xy8AAJkAGbqrbcBbBSMAB6ALu62wGHemdRewTRe6kWMAAGcARmwARrcAAAbAEBLAG727ulVQZbIL0CvLtl4JhfEL0BrLsHsAXUOWkRyLkacK9wUAdvkLVvoAAZcAVtKm76GakrOwAD4AEWcAe0OwAFkAZjkHbetbIFcKl6sMAG4AXdSVVhiIVhaLimx55SDMVTvKD/qYX6mcX3l59XDDtLRmdCJsaJe09bLJ9sJ6BaPDdth6Dj12tD0AMpsAI7AJCW03VgyJ/DKhDCxwQOCgL+H2sHgmy8dZC1DgACh8C/AYi0AxAADvDIcfAG+Iq8lEy8+OoAGpCaWleOWKAHDdDCgmwHdWAHyFsBU9AGR9lfbvAEAiAA+PrKoWvJsIyvALAA3osAAJAADXC/IZuv+QoHoSvJDQAAAhAFZGBkZsAFHKAA9SvKofwAEPABheAGeYpsboAAjky/EAAABdC7xaSCUbAAAAABcNAADTAAxuwEazAA49wAoesADUAAa1AGRcwFARAAceAAEBAAGtCmZnAG4gwB+ewACxAFDxy0boAGy/wAhNzQ+LsBaIClU0RcOloFAaAAs9wAApAG/4jMUCAAWPsGDqAAA6AGPXZqw7f+gXRbWLlVVSZFT2jEWC5tPcRVZK+VdlV3xx9Hq9bIhrS0TxG1hrzYBEqAAyqQAjpw0rcUlnKDxwiKck6gCDUQAXEgyqNs1cb7BgswBW6AgaRVBm0wAA8QB8ZL1g09uqNLyBCgAWpQBg6WBGRwCCDgAKE8yFddBxGQAFzwwcOZCOAbAQ2N1VhNyHKQ197LAQkA2M682A1NunIAAQuABYFqfG4wBQzQwqN814KstYKQCECLWE3ABlOAz2btABvABicdteGM2XUA2WDwvmtAAA1gvHbwBnPQABKABm1gXkyQzAIAAcY7B3CwAW1aBlywAGbd2gvABcccWkyQCFIAAID+3di0LQcJQAVu4ATKumEnSQaCEACgrNYKwAVdLW6kRQZYML9qvQDhaovqWVB2q8XYtMXzvXr1bXr3zWZ/1TlXt5iU1U7KM5FjucdNlLfeWWK0tm3W1QRAEAMqgAI/kGoDN59XqZ40OQZosAFUHdiC3QAbUAhkIGdjgAgTwNqEPMhWbddw4AFsUAaMyQZWIAFvwNi0bdUKUANtCqrezQB3ndkp3th2YN2EoAgfMN2LXdeDjdcBINlpJwTJvAEOQNuBTdsO4AGHkN2R5gY1INCEbNpsMJfDRgZRkABpTcoSsNflOAEQEMqjDAcMMAgxGwRlMAgJwNrDPZ3GzQDJHQf+DFAILo5bKssFUN7jJy7ID0ABEb1nrxRfTCDaUU7dEHAFXS1IuDXnCpDccCABJq1S5wRVavzU1AegAOeeYQh9S9d/pg7qF3fqYuiF3rlCRSc+5wmMjzPrGSVSi1iQP5ACRw0EhGhsmGbGS6WsQ+DHVJAAg23XtO3mXJ2nRDAGblABJi7lNE7IG4AISSCBwFsAWEvoNV4HcjABWFAGBiYGVQDc1D3lKW4HCUAIjgAC003tbE7dCiDZguQElc0AM57ZhU7IDIDdKebHNcDQy37aqT0GXHDZDb0AhaCPiIAB4U3IcWAFbrAERqCjdN7QcUDc+J7wjd3n7Zt2fiwFlz3+7xwuBwBABWPg7IlbBG7wAfXb2A5QBWzABJSuk1hw6YSc6ZtOn1VlndJKP3nc0kttOQJ+rON26wcuUtd4av2t32eM6seaX+5EY7hOYZpGBEqgAyqgAi2ABO12313s1OzGdRCsAbPN4YJdBw2QAUKMcU2ACBQw7Uhu8nWwAT25aeitB28w48ne2BCA3YoqCMmd7lJe4xHg7h+A2c581XZvvAoA4gVGBmuQAej+9/zu4WvQBmbhBGyw5VI+3KhdTUmA8Dye4hLg52TABiWu7IVcA2ZQYElQBoWgAD5+99RM+wxg12/Q52vb6NzO70A+yA2AAWng1qBknp7vAWY92G/+gOP1dxllgAVZ29ASMPpED/R8VOC+yExoyOo6fUxSbJ1djLj354Uudl2915XHuMdMP2/wxFVIpmphmARhEAMkoAIxgATw97gTvvQAQYRIESJGBApMMgbLggd13tSpY0eiHYgV4TC44kaIESFk3FSAUxEixYglKUqEswFREiJO3ExxEGeiyIok4WBo44TJGEFxaP4UeRICIUcgQtKceJKmAixkhhQxY0VCTaQ131S4YiZIEiZuajwgaecNCDVJWAppopABTQaGxoxBNAGO0ohxOLhhkqRjoYYnU7IpUwYNnZIQGRQik2SIEYUL4ryRCFRkAitknBwkgrYIGz0P6db+gVOjjdmBRMpggUBVghoyAotszGwQc0HMsGETjJ1bNkeDBHkfNGhEtm6Bv4cbhD2bdvHcyo83B768NvPZwa1vlI09um3hy5/7Tp5coBDlsXkLSQKkhQoVOpQsHpgEN3nmu6ljHo6WzRQGR0eGXeouJogYAi4MqorsJKVSYq2lNSZwQMGgRqqIAS7MWIKMnij86bO6iPqAqglJKkwBxFpi4wMHJANQIgA6SMQLIpgoo4YIFBxrDLNkU4uqCrgoYww25IpsJDg0aKOMIZIgoxAFTHpjDzeaKIOLtUi00CkjXOogpsI6jMiOOD5wY4nuDGLCiTUcC5NEODhog4khCur+aJArS5KADdK6i466M4OrjrbnpKNuPvsGHdQ75gz1c9Hx7FM0POSCE6886wTFL7ozS+vt0T75FK9SI4oIboghemBPBSCUaMK1zMpjTrzrZHuNDDY2iLCqDh+gIEkimGxDLl2pioxBrsq4ggHIJGS2ogZqMKMMN3rySTKTapJAEEdCnNBaiJgiQ4gy0ugMQKCEwgCRJYagsobUwvyLNLTG2OJGCn8MEpEMPLNqAkRaY3KQCK7dgI0xqqzgywW4SEwIJhDB1dxuI3pDDzWYEI6+JphAg4FqaToyJ70IGmOQOOSgkA7ACiKVPu00xVQ4QGem9NJNC9rUtzNh+1NnTpP+k/lS8HaTGeefi+6O1JY73YhUOmd+FVNP66MaaUFpti6/0opwGokZQlBhBSBYurq6oaHGrTvykijjEAk+5nDEOhIYpAwm0IvLPxI7RKngJJpwo4on/ysswYre2KANM9TYcO+9v6QoDhAfgrwmEilaAIsmnDhN2cfDBIoBLHRsgg13azL2oJ2spOowN+Ai8vGFE2MSi4FPitINMsbggjCRLNRR3EPYPBeoOKIgIz+2uVDg47DgoOAMLQ1yA4s45ipJ5cvMMxrSnKPzDVOfOyWf6uV0BhQ3RXGGujTvNqXVz5tvGxU/+GlLm1DyQK25fbRjdt9wisM1gwwBCC8gAQn+cqCEJEzKOfWZGc+UwwQ2WEEBlLPW5SJAhdEQQUgT8BZS7JASROioDSAAy38MVySIXMUQrxPEWixXOQAxQFtGySDoIpMALJTBJVTIFYK+BJE4SCERx/qKVUCgpwH9qkoyrFAhgqQGPYTEcQqoQhkIRAY7Ea5ggekYTWZ3LME95nOgE8kbppCIIGCGSoKbWB0GgAYlvYYxqPmSBNbQBOyoT2oANFr+eHMoRdGMU3/EH9XCBzVAAZCRVYuZb5SWm6aNyn+6kWCgvnfI3yQyfXQaz0C49hol/CCBKtACA41GH1c90maE6koNgtgiYkUkJXgZgq2ExSEPFWsDahjDwzL+gD0JzVAkEKjC6wQnhwSxkHBhGoojanCUYprEcAkoRJrYwIEGhMWb1azDmNygE6+8y5Z+Q05CuDAwkVQAMWOgYmpYaAcFUIF2ZMCjTTYwzipN5XDAm5FXGmLMZx6uAGxwAnkW0xU4iggiC0DDGBYzKi7eCSJ02CPZDPUcQxqnbPcL3yKB9jT2FTKAjsRO/ziZ0qeVLz+WxI1eWulSQ3rKo42EmdUSWbbijIprQ1BCDkhgghaEQQmuEWBOBSXBms2oDG2IWNyKRxELlNAseTOctyjyy90d4k4SeyZFQtOGwClAKUkJSlLskABCKAIEKGtT4RQUGRMF6RAT6KYO0fj+ODh4ADBOaEMSjVSwJpBNXFGAomEKMQYyUNGKQXnAXd5zGnaS5Iv95JCFGDgGqJrTmdcSiQUO0ao5caSccUwAF3TUMi76hER6LGwnLwVBT7qSe4KEIPw2xdJGftI4u9EOIfm0yPrwloAKnRohzbcR+hRNO8TtlKMYWSlRkio9MTABCXCgSuH4MYDPLalLM9O2BRATTEOsAwSawjasekgyff2XGwhh1jOKiCRxSFzgbkfLEUkkAkQBATsLSqGZmOh1hegPWh1XOIhYIA1OcMk0Uee30izvdhVxJxmU4IgBPFYkN2GDU5o0OMu+rgyF8GdFTJSYMiCivJb73AqZMgb+Ai3GJRx4l4cSkMWJdgQLUKSI9ga4nUP1Vny1deROl+rb+L2SaB3taHCrVtNKFnBJgxRpd0l6EPKw8mZc5lPSIBk+zDyFa00Ywg9akN0fMLC7iXolzBRVhNMkoFr1NZ4VgqlLvYbQDgVzw0vAgue4UiRKh2gDIRLguGZ5879uhSsaz1sHE7GhDVZIcLPS+rtBmAGwH9AbHMhCmhmNIQoJo9Bh3kJFuIlkAsBUwhic9J/ccQ7BX1K1OhNAzBiftS5VSExpmdAGDlBzQhGogp7qpxDXYlgNhY2aR4HzJ0DatqlE45S1i8Mznv3vkePj5CGhWzRTLUlqsy1bJoXQ3JL+LtK23tVfxogQVBWQoAVjO4vRQnlkqxFXIDQSRI4/h0GaFJENDIwLZEDLor+wgQ1Gce8bPDOTiliAC4mGgDM/czk7PDrAcdQVU9jgBipcj6ByLQwEpGCGWA5UrH5r1a+c8OOgMOAQbxnSnWnizjEo4cT0tSxgTozqFh6GDDupQmU/G1aJQGAKOrqyEyBmXgBFYApumCgRKopGCSAC2ic1XyNDmmTjvOyQjcpUT7u3MzF7csvnhrulnEYgJSBhTvjpNm1hVZuklu/cAkyqEKwbhhgkMAYMlCnL1O6qQq3PNhSsAYnTSIc7QMB5FYlDB/SUhLgQbuAiiYAGEMGGQ1j+QIVpdEhcKxKBQSiCChm3bwYZ0Na3wvhwSJGDgd3wgVajXm4P6MDr2sD7muB385lJC+uUourG6sGcrbOCG5TAxQQUZiwIPXFi63CYJixB0H12CMHVCoEPbP6oUqeAsQn8gBroqTTM/pIFjs9Kxt9n754iiM/uT13q3t/+e4eUqWkOl0EO7yAIoAICFuABspk2B8q/8YANBnyV77gPgqgU+rBAAWqa9GgBe3MPxRgyMLONPuEeB/qVWxE4ioEAEJgCPrgD8QunX0qIIcEe1XuIG0w9ANCANXADFAMKiYuDIOQXEokAK0CE+XoMvmGhh5ADG1KEGoi0w5G4KYSDKnz+AAcIAC5wA4jpPYcQQsiRiAfYpzHYPWMTtbJoAtxgAtapCZ4jg7hoNZKIAEGQvh4cNIr5ojEYDJqQgB6iIBTSK7HCAzigHLUyPqgTAidAAwootA9bIr0wgoSgOaWALZaon6gJlOICM31TPOjIlOzorUwSN9qQIOhyH/AxqWojxYOouxtYgRsAwWnzLi0LpbsLwKLJtmk7RVnkiIkygiYopexqgR9QjNJqpP7bNp0CFQrygBRqkwi4AEI4hEIAgTu7Lw+ANUeYgGWxpgiIAAaIgOuBgwhIgAQwAB4shBV5pjeggw/gAz1oNhKBAG2pggCICQdwAIlrE5IAwjhoAAH+0BZQixs5mAOPeRsFYICEZIAFiAI2QAQPkAmaeAP8+gB4nCfQOKiRqwFrRJyykCkaoblUu7kPikOKkIP2U4LqWTQSkZIgKYSEwZJ3UoNmRC8I2IMp2APnmQg4sBjSaQlDqACUWbo6oLBIxKeTKQw6eLbkQru+456D8COmsj+b+ZPogpWk4rtA6T9R/BQMJI9SWoERYAFVeqAh4xOEgA8uu78ClA6r5MTiUAIcEAETOLy7G4hEsRQBUp/gSAg1IJK4YgAqQIREcIRB8J0vmYCbS4Ih+Yk74IMNAAEQgMzJ5AADeIIvcINBcABqIgk6AIFCOARBeEFJCw1HsIIBmAD+CVBNOigSEqED1ZSAARgAK5AmAaMIPOgDDuCAAjiAAgCBAtiADTiAAwADN2ADCajBkXAAD8CCQyCEchGRBTgEh+O95yGLwmIJrlC+MGkLnHM+MJEDstgdJ2GhxHECWUsxxSqDxpKAO7QJDyCEQnjOZTEcByuDVlkeVKsvbDSLIpDE6yERC1iDcOnE//ufTyyzfouVZGTLPnK7tClFvWM8pzzLoam/MkMCHEgBFFgBxMMMeKuf48DFt+wyJTu7vVuMOUmCMHiBEDABHWBAeZsNdgs8rOQRFGMm67OAQkgEMuRCFXoDCUiD6UOEtyEROQiERjAEQyiEJnVSNIiCIxj+OUFQx5l4Aw8oBEVIBET4uCVcIi6Ygg6Qgg6YginIgyG6gzIlUzJtSIEsjD0YBEPgAi5w0mnEgkLoAjHYwql4HAkgCkdAhCkYKDEqBIc7HXg5KFKTxMSyA+ZTg2FCEAbZHdspEsRxgyAJo99ZrDEYHkl7A2RyBDdwhNcbojiQADRIjIIog0FYNKmqCGxsjV/pkcLQI1JTn/7DSmT80Bm9GZyCoEmy0fIQDxAlRcCzn5eawLqLgRFIge0iNfP50AKMxAbaN/tDxvaxFIEYAi1ogbn8gW3DRFbanwnsPwu0DbWYi+dRiTJYAiZIhCmwRoiQgEIQg8ayAP9IrypAhED+0x3GutQQIwNbUREdEgsqcIQv+AJFGAQLULjD8YB9XYIvYIM0QISiSCs+OAREUAM2UAMxUINEIL7IeAM+cATFCVhbsRXG6jk2mDV+dAgQSITXSQRD8ByaCAAsME7ig5fr/BX0cIJ1uhajgx185RDRGs8nYUm8OLHDVE+FUABmIpErHUyyMgTTcxzR0YgmSIuk87WgWI0xWBuFkCcMW4kGEhWlcst9I0BKUbsGVUub2jKrvKn7iB/i8EQRBRVW5NYQaIEe8FABjFYuQzO7s8tBwkTpEFcHEqDSKggl0IGhagEkYBlxzUsSpFsuE1vSpAI2cpjMTLHIyBzG6jyRUAD+QkiEwPgbMtBa1TWD3Xm4ICoJ1jODRDQDiHHGFvKAQ3CDaGldNtgWoq2BUCUDM9AdNVADnTU0EFAET2uCk2WSgP2bkkHaY9rcJXACzKTJpbAC6vSdl3M/hKiS6vsPR4VUydjRo7XSfXLJ9Jwbt5DerIKAGrhUl0iEDWjYilAvluOIMqgC2DsjO5hX0ljMkCSJrou5S1w8Egy8amUZOxqPpTHczNgf+pst6vJVEzxFY+0flgqVgkgCeiOBFdCCZ/UuuwQlAkmCHdABJIhFLbNg+gMgEN2IuOTbGTgqrkHhVSQyC6zWWUS6sW0hOsgK5iKDQ4BHtriCg2GDey0SB4j+vrvBjyKANjHYJs+iiAxIg9mls5fopr1JzDFIQ60lw2lyEzI5OibQMCVQg42kkDf4gDVwAhxeknxDDzeQgumtCAkAkiUoAu87VJGIA0Ew1LEVC8JyGWQhuoiwuVijwRjbvkE4sL6oCCnhnN5hCyBhgyqIkBqCZCZYgiVIBCrYL/yNvlFJgpfw38eRCDpYLD5aVD58Ngn0MkgapGsdpVmsZe1gN1gxOwxmFEKRs5yalLOMjRXFLhI4vD1xldc4iMVgrl9JAiRYgRTggcIlFUviiP9zleZiqczAYSVYDxPwW8EjCMWgVi/L5rzdO1IpnSkAYoi4A1QllZ3QlySsiAX+qALOiQsWwiL9PZ/kaLEM0MkHAAG8eA0nYINBUIDkrIN5BWOOoBJEIGOLIJO8gGaBfT4HeOM4LtHjikQz+ApnqgA00OIiCJznIyI6lOgUEiu/cgKyoRE2HAkGiCghwQCGBj1CMAOWNauSQByE0kPtw6Y2YIOAG6Kuu0+uaQPDhJw4oIJxkuIyBKeSiIP1+pXWgiuKqICVcI1hLUtiFlaOcBqFwuZO4QpzO9y0W46XEdFdxRTu2MWskRr6SAJuNYH2IMvfUB/GjcB5U48U0IElscVrnjtKCiWqbI6JSo96G0bFuGYQPMuncK5IrFa2NAiE/mNbwuLk4QghOQAHgID+KoQDCBCAJwhYRGDEIsGicTKCIDACXxSIIJA6DLi8B7AnjBkVMSiEBfiJw2CD3+iKD3g+OAg+BjSLFMnojV43AmkaNRSoy0mJnBA803jJn2iAqwvULk7efd0cMngqgaGKBVisN7zp+gqNQOMLKNmn8ywEpp0bTHZnuriJcSoINLYSfoGICJDfhHIJEPBfSYuc6MvOWS1gr7NEp0wyHg5XlskY0vBFgnBtNFMM7DA7tfZVUczVR4LK+rtg9NABFTgBExibwr3WBv9gHGCPwI65l9nL4bDmXa3QSETxE4iBMCgt70IPsgnRV+ngtkzEFNEb0PilJhiVwmKDJyCADJj+AA+4gAwYACho3jUIyiKJgypIBCcoLCKfJPJggkOgACvGIgJtCd55G6qAgLqh1l+RaiOR32clww8QMIf4gJzwT63dnDgmkK7ggNsFDRBog1bZiDIwBPYFjfJrA0G1Uj4YTH51A4V170W2afSyiIJug/S2iDE8MfZ1J+OUMDe5i4SSuTQwvS95ADLhbzbwACuSCDw4U5Ooch3JjMzUvgqI5V30xPOxXGEVbD7iCNcmj8JCvAbSMngrVk1B1u8Ca7VG2/354MIjgRdAgveIYgRGKtgYgjBYARJIgbEJGh7nO2bGO6w8QIQgPBIQgR6w8ZfK5l+JDQp3UBhuri1Jgw3+CHJxEnYpdoIjgAIrqIJ+t4InEAMmYII1SL8iQaZAM4O38G4zwE6HMYRd4k5DEPMZmcnHooiDfxSXALXnKW4uC+44HwtFMNmANYOS35wPdoM9pwkIeOrXWIwxSIMM+IkIWKLAGjSS0INGOISdn8ZDWIQ54MPFWsyCP7lecYNGSABuJErsu7XCcJ3h87BweuoxaCPTWAMP2McRIhOwfZhUB5088AMCgwMqUDYq6aLCuINaj2sETUYGnuByM2eWMJXXVgIlAAIgiPYDb5q2zyRQhCQFdjtJcZSsRIIOPIEcYGHKnQ8GlY0k+IEUUIEWUKVuvrv9cXGoJObFRUAQNwH+YmQXu+Qa5DKaOaFwsGbLInCCea/Bi6dDM3lgnUiS2EfdhylvkpiDQEAERFiDiWUDif2CoxsChOHMOthqGluMIhCSaiT1ZGoiNd94IyETUtuSwHq+sTCE3OdYREiDNViDdmWSWyFaZPO0BtoY8F/5mrcRNKKDPZBM34TMnGSLd2IDogeTCnihsz+nJMm+zCoENzihhgUIO3XkWGmTJIiRJEzceIhTR2CdOg9AsCHDhMwhCXDscKyTh09EgXbgfHCTxIiQMoMYRHxYx8KaJESIFJkpZCYRIzhnGtG58ydQIkOGJEmiRAkSJUaVAOmhIwcOHUiIEhFipGZNnT55VtX+itPqTp1gt4LlmvNsV5xiZxLdoYKECR1KhmzlmZVnz5pChiiJkUIFjrlDrG4dOsRuTaCJd+plq6SHChMvkBRle7VIEZ1DwR4+fPXyz7pGnBzC0LIlBCtklFQtWsSJEzOxY5MpqgRRBjguI/KhQkWQbylUpEjpQkYIGS4MdIesQ8HNGCN0jTBhM+VNc4lUysic6cTNhwcQR3YwyVMIkzYfIGTfE8i3oPjAn9hgkmQMGwwPTtdJMEh2dwttwJxLEFAEHgQQPfRGHHHQ0aCDcWC3mwSFKEEGIhhs1JKCET1giCKD7CfSGxu4wUQZhUiQHQOFuMEGCNgpGEEhbDSBEBH+C8XIoR0GqjEGE2OAwcAbHAnkByAyRgQHB9DlpBJLFCLShEwo7VSWT16tFVRjnSWBhA46hKGEFj/kEEMLJrSwglRJ0JXWVl6ZdVZP58lpZ5Zz0snVWEIpgQNcLwBRVJ1V2SSWVlt9+VcKP8zV1WIzdZeZT4fNhFVQOA2BxAwmkJADawkRMSlmmtmmVJWYZVbWVzq9hsYEG6I2iBtEESWEVbBh5gR6TAxBBhuxdohHHhdcYMGxE2QwABS1jcFFAuNFlMGUVhYB7BQOcFiHA1O44QROSYAn60glRYfTdx/Iwd8cdxwrgR56TDDBAAh8QWUaGnZYARdlUHmSuB84IK3+AgUkwsYHEZwm0BsMvgHBGw1M6JIdLZKBX27S8vdAFSEqwOEbe7hRRopRQsTAIGWssceGHTFgyBhF3bSQwHGMB0EBFSVBBhYKONQRH4H8zPAGiSxBE5TbVqBGE3iFVRdaaf10U06VSrpDCjFkkQUOaJpwwgkmqPBCm2rtmRaWh5ptNkqF4pQYWKx2laURSoQRAwmAUdaTaFehZZVVbb21wphNNMH3TpbmhJmhb59FdamIaxHDCSr0kIQQRQjh5qWqFmUUEECwdulldS5GtRFmcFGBrBG1GHNCRcEGGxNFMOEESvepESt/dcDxwO8OvOGAAgFIEbNK0fLHQRtkGLr+uRtSsHfaAzWUwQRP6U7/EBzlNUF1jghPL5LvcMAx/PANBGBvE2MgIuxpC5xRhhPdNVFGBw44FFEcBasB3v6ys7DddKQOFRrDbUwzng7ZoXqOGITCmrMBNjghRXRgkYvYsIHeVaAQY3CCpYQwhmwFEA4F05kbrGAygfCBEeuCiBwmUJGZqCSCELmDGmpDk0yZJVFXUkvbVqWTJOAABSagQQ5aoAIVnKAEYMvbCkSHOcftUE6IQkvbHpcnruTpTm2Lk1WSkIUWwOVyJ5HbDkNzky/hIASAOUplpMaWzhXGTmzDSkKA0IITtAAITSjV5jqHGSqFYQdQGZRdPhOnrxD+oQxcWIAcOsSAQ0RHOlRqghma4ARNwsZwRglWgno3IYE0yAFSMIkbBpGAOSyPgl9pghsEEcqQQKAkJ5kJzVoHhxp8aycB2x/5WtIwh8TBARr4AhkwwjoFwWEAiIBNZYxQBgQswAEOgIA1A2AAMCQCBMAUIDgfIhCLYShj4fQdBxDRiASc5g0UGYMjWaKgBBSiDWxoiNIO4S9DtW8KAQiA8BpQPAKwoSjR+5g47QCIRrAHhgtgwxiGcL+VSEsCa2ia2uYWlo2CjzF5UdVe8EYCF3iKBE0sgRNLCqrupLFQPuxb1La4p8RYsYouZUsSIMPHQclkCJGq4g+JosfIZIH+DGEAAg9Gp6ePWslxWcJSZojgFhNE8Y98yxKlvqSDNaVAB7YqXVfKAjhpPpJirkMEE6wEGzOUwQ0jI8PIzOCsYBVpW9siJQROCc9BKKBDcqiBjTojUTJcwYYPaQAHbIS5hLihBtsjj0m2Up319K6ydYiDBtgQpDUsoIB1eAMFnskrIyCEDE8gAAb0YAEPYGAAHVADG/gQQMt2aDeTFMNt4Gek3k1AnewMScgo6AYVYZANa7AAK5tTgTUwIa08SQIUBpCBCRiLAvUSg0Lc0IGPdeSvjaADgeaQgEM4r5Er4U8FpnSTOPUEdVWjW+LOgkdVSWcFJy2BCEzwNSeC7QT+JIiBFuKYqC62VL50ktsiD3zFqD1vVErIAVxiQJnDlMUzetGMppTwg7e8IAth+AEOWMADN2klqovLzE8vdbaqZIaIJPhUGE6Sl4R0VMMvCAGOJWwpLzbOJzxbQMsi0tuTDKYJX9hCGtCAhkNwgQtpAMMXkiCGYLWutgpygCBONAa+dmiXYuAVW5pA2Ci1ZCLmkdS4ONS9b4EvCQhjTjAr+4YCQGcMaFjAbj6LAUSYoSt0acIRiCOF+BDHBmMAoF0XZuWIVOhibDBnQtFriHWqeYJlGEMhKpAdfrUBEXpYGBwokIYxZOYwOwODoOEjhSgUhWZ9bYkcqOCIOKyrJQr+gFlRktacO1CQpX67y5x80hggmi5yeryvf+EigxbAoAUtCMELdqCUtalti2nTkmjuMuCYNtUmowrDC+Cy0h+qZTFDYUsYZmBSGmQhBn5JAQ4snLmoooRxjKxL3HA1EyWs4C09GNNQ8gI+vgCh33BRQRR33DjSnaeRWGCnZ4ecEyeMAQEG4EABNqDxDRygAE9wNKR716G8nogNVYhgS+BAhXPNsQxYkGdI4EDnODqBDY4NSbnOLJTq1GC2lo1IiSAqhkPg+TRwMFEZtKiQL7RBDYiArRjGAKybx5lH/DmZhTA0gbvmYWEVmDRCF2QieBbCZBFJgCHYkAYL+JwCzG3+72GCJIY1sAERiIBozO6jwdnCIRCGuAN/FDCI2iAHgkq7KFAIE5oEh+bCqqJSD77mApSqaQY58EEPepADdatALpnyirb3pCXRmy30XDmdtwn+FsspNSg37UoStLDHEshgBkpcIguQ8D1FGiov3gZKnTqaBCAwSgthyMIOkpp6vvwpBSQQgX8FpbibdDSjY3h4nuuQAQri6j4GWAADGBAHCTRIAgtAALDYYAECMdBIAiF5kFTIHzhI4V6BHNWzYL4kE1GpNeNipvcoXsBsT57tVktsACKMwRgQHaghYNI11e2UQTJNYDIFSQ2Ih2ddXQE+xAHhhx4EWR74AX9EQCP+NMKIuISl2dkFnUaLuEEaXMD8XQBagYtQ5AiKlAFbTWAT2EcZIIIHEEgdQAAhOMIHKgjHFJTD6Z8BPZOvXdXaMF4N7pBeBEERFAUQzACyvQAOhA4QhEEYlEkLjEBgyET19VBO9ImrGFgWmR6cQA1QGIUOvEUfsZTrtVer5JQJoJQLuMCL5Q0OIAERIISqBIFQXEXcJJ7VSIoSxKEKzMDWzIC77cBgmIqGrYBJPdEKTIWldIZaKF5VkIEq5dkbZMCJjEoZsIEBCMADNMwwvYECfEBFvM9GMFBCQQQEUIEbXAwhEKBEHA9GBYhymFUcmAihCEET2NxjkYTObY7Ntc7+AHWEHZTIj2Ba0UFEiTjCYkmK7NTP5ygELF2g+1UWNLJIGlwIGxRhSORBH/CHEFKaglhaPGUH2rnBIcDgaciBB8REYsRdEuBOFbZPEjSNCCHC+p1GHAyCI9hjSDRAlu0gKJrdS1xUR41VaJReRdLU5sReDuwXSlkeEDDfUdhNDITACsyFG0pNn8iRHEFN3LgUGv3EUVgiCUxG1cTXnJybVfSFHvZX5bDJXESOETQNXQAb8M1RuNxN3viAD8zAW5hAYJwFX6SbCoRAC8jACYSAhHXHuTXec7kcd+0GKWKP4ayBBuwHf7zBRLCBGxCkBvIIRKiclllBQ6Xc8eQOWCT+xwoaiczlIvV9I/utWdP4BM+Nz9V5VokgwqWhQQIA4dHNkE+AT2KwVAWBYwa2X3OMUyFcjBqgY0TkQSDUGsP8QSMozDueSIqsSHO0IBp8GsXAQT6CC9VgjlVZSVCKxQKSGf9ggSPsQTIClvMkDflYVHk5jdss1b3xnoOFQeSdwOSdwAv8ACBqo23gAMKFytRU5EYtnB0RJYMV5+9tDlOQUeexBmF01LAZRk40ARKE2+ShlHPOwA8MypuMyqkI5EkyEk3cxBe2QH4pJQm4p6AUinKGoQkopafEgFJx4tOEFSj2lYKUSCnexxpsAAbinEAcyPuY1c/5zinpov6NhC/+3sSqJIfZjcQE9V/43FxzlIdCnEXAAKHISRAbXBoDGh0IJGDUVAmGXYoTtEENREA4iuMzLgAleSAQ5sEiaJo4wQEfjKZZwWMw2hatrIFCRgQ+qgGvxOYZBl9NpoQhoNxlVYgjfAD7paVFgCLE3ZBEVtsZYmdYmQ3g7EUSHN8LiAB/vUAOTEVPCKRVNEEOpEAKtB7pFaUZ1okV/ZR7RY2+FaKGySEi3UlNDgZbEAWVxCFzUh4M9EB8KgVRFAUSAIEWJIVGNc5L7gURKEEWSB4NwICdgo0JyOe3xcASOeIYkYDn1URnsNdYiAtfiaKJYI8ITegsWmgdgEAb9GAGnJP+XT0ALt5HFXwTh8YM9cUOcYmT7xAjsH5HDeiGSADmVwQMmMboAT7TsxRdyhVNRBWK4hhlTjRWhdbWAG3LAnCBUTnCALDfBTQC4DXHHjipNW5AG9xPtZ6MIdBjlQ6EBxQU1BTKtOoFmu7GG0jAITTWKEVjwsYMz0SLglgUlbgNGlnRneCRUBiFFuSAnU6eCeRpZazK40FGJkZN6KVhFsGX1HinzNoRq6BERkKYZEwbS5qYqRnFl/wAU34NXMxAD4gOpzbN0HaNtCnVehGqzhqFDzSRC8DACUBfc17OYSjBDoThC/SAFmTBEv1AElDK511Jg+bZ0ZUiciDCgBRgNFL+RA9agLJmRwRIAVuNgRX8DF2KQdMAEhmAQV5yD50dh3cgo5rZ0reCxwttKNAhIIoQ3cTYgRxMkPMgTiFqCt/wHJxtqJUtgAeRwWay3x00gh+M0hsg6eMKxNg5kpK2BD25ARrYo4IkLBOUBRn+BNoSAd8CaUvEgQWkgRtQgVlyTwb8yEW8nFlZwDNxmxuKxsLprKmEgQ/k4eS5gArwFE3o7Lw1AWQE6nyOHoKlIdtQ0engm9v4xC0RgXrGQH7FQOZSDer40FAgBRDoAJrkFwm0QA4AAWVQiaUYxQ/EgNhkZZvy0Js2gRJ0Sgm4gH8xG9iIgA58ThjgwAioAICFgQ7+9G8Y/JGJAR+ruEHPmNUbEIBBBCQZtMGABFNHwOJabl32xWsdRMB2UBwhKCH9xQyLJQSmrdC1KlZVwFLCqBmLlsWhURbkHuCMMkFZGd3YVU0ZXombkamGCil/SAAaKOA5mq4j9MEo1QEeBEKc7QEFlQwGGezCxEHCnu1LVoVVrAoRxNKrAR21uMEu4twbTEAaYBcbYN/GrkHSAU5GVaSwtQqlJARTwO8DO1ELKEETeIZ0+BRmJAGEtUAYnF5LJRgYqa8Cr9iWPtdMIAF/mkAPWNXvhVVPDMWX7IDXuGoM9EBSRJPmjAoQGDD0pYCoNlVHeYXugtulOuflmZQK/AD+UWhYC6DACvzb3aBAYFwG6lHbJ/YqM5HiGHxiGsTt1cVBSfQg71TdAvUHLjqBGMhlpNEf4M6bD2PBikBj25LBm3xHB/xlSQSm/23rDFvWBmCpE6jIX5oI4roNhfWe+1pHXRVmPreE6CqBkZ5GBTSC0OTZH+xWNL5uIaxgS7RIG9Tj40aEB6hBGVyFQOKnEI2KG0zBXPqOB7SBG1QBRBJpzJCwEkqAet1UtzEYzLLYqhgFdSIbCygF6lgKZiiBD4gAJrNU2mgRnMjNFAdFHHtUmxrjEGyYmgxKCJdbYQzBDrAAf7pnC0BnZcwbrv5JZDhRMQuq46CO4g2BHvFXC+j+wNjenjEjRRKNAAt4oRYAqhlFjlOTBc985ZJ4AFqNihNkM7fOHyx68zmRj0Awq5blMGOrHODSxIgyr4IMY0Gd0Rw71nis2WLpBM+dIOSWyBrAxp0xJkBfCiGvCvgwY7YQ0F2dkxZLnRrkxmlcgCPsos24hB8UkECY8f1wAWpiHT1SQK0Fto3gThnehBPUjlVMFkZf1gSxwUoUycn0i9SVcAHRdOCmEYLV5GP2jXQM3wpwpBPhQDThSsDpRAOTwAoE2KGE90quDfUlnrfV92cQsiFimJt0sGRQholBDsM62A2gwAg0UdjkKVBDc6n1ABmBjfZK23TsKFH6FHvrlNj+/CGZpIDYJBVThFsK9MBR9EAKvPdBfEZVrCvUUBwWmOuShBYN4scGEGbwgoAC4sZhK4iVOUAVsIEYlIH8teYUaBaK7wzzNgcEAPQU1Rw+x5z3PA64PmNlNWZz12i3asCJTNFW2I5y9+nOfAC0tiU4vQ5+wM9D4DYhzEFdCUQeGGBjkkzZ8UcLHoJt3+6P+I1+E/b34IoxwojfXhYMs7O11jAWIJBM5xlNNzdMpa1WjBVhCA4TXSoJZMEZGeqfEcF6/lcYTLjmaO6VmO8UNzVjhDCK7QQDy+qnkKd20m9TKQELGHh/mYCjUJiqYAZbh1sIQJ/YyEU2Kg6moE4VNnD+fonACpjtGGTBjakAZYQBhLn3mDTzGA5lU00fWTjcAqy57/SWfRjBErhBBgBTAcUBRWgdENKiOGEZdKjEq8HQkKdVYqAIFgCvS6TltLmvuxqxSZRFejS5ANUWHBDAiTgBF8hwymGASWDOWL1Gc8/OJi3BGKwHYwPdZ31Ww2SfxNK2HhBmBTiCIdABtmdgHXgAKgm3nGMBPf5gh8jQEtxI29yE4TABJ9FOE2zmbvPPkJNB2Q1rEFqBSaztdiPCSVyYdy9eqxhY4ChBgUfGHpbAq1Y6X9vyX+BAjH0G2lJk2rBKU9d3FPpe7/VuHslkD6zr2yys+95ACrQABJfAC2T+8o5B8xBARn69AAzkjaP8noUlIuMAwQs4kQiMIaqSUQskRbrBBQ4Y1Q+U+IhRRU+x69SkhKBv2mBz+6MNTbiDgFvhxkGLojDBAQDg4kJcQR1HxByURFpZyf1cAZkxzLh7xmDiuz3nCHiIdjuxYsMYE5AIfAWYJUTIUCXVBEJIE1uxlQReD4JcZh3MAQNAAANEAAQ8CEXXAQNwQcxQmYJ8nSOwTry+pciTnRJ2EBscggd0dB1MgBrAfBAEbhFgkgS6gRmwP2yc4gXMwZUJglpmhHjQ5fU85KDTwTO5O2NgJ0AYISJQIBGDTIwkJKIExwgSM2icOPECSRKDCY0USZj+RMkOFSpwKEmSUWCRgQUNGhSCsWRKIkNSCnE5c2CRIjIN2tRoRGaSHypItPiRZIjJl0RMGk0psAkPHDNcnCCRQ+RRlRqBvDARIkaWFyRU9FBSFGVOpUOSCBGSBEgLiS92JGmSpIcJEjGQKNHyQoSJH0rC4ECxoiJaJDyCrCSCc3FBnkTIRFnwpk4dO3XgVEAzZmWQNQTiWLYzujKcD2zGqMlguXJlO3DkzIEzBwIEBgKelGFSZlCC0Zcrf3CzRKPBJmOsQGg9usHpJBYNuqkBhzXmGm6cyOTJRPqD6qIhzIkTRzyDBAi+OGmCZkBr1hMQjbnYJEiTJV/OoEmjPw3+mDFuPlCONTvwAMFAEDgA4QM+fgOOgULGIAORDOC47DIKDFHEgweAE829OjZgg4wxuJBguToeZEONDYG7TII0yEiLJyGcYOIMMPTjIo0zlhjDiTQsqPCyN+KwQsRD9OCQNTioGIMJMrCA4LfKJFCDDIVMUoymiwaKabGcjCBKhxRW8CEiEWaoaoiEbMpoCCViAGsolTL6EimVXFqpOC23xJMIoi4yCqY2i+MoB6nwIiKIjWhibLEkDqvrhBa0UMKqxYRoYoifQmhBhzBo+Oivmi4dSCYhhhBCI7pIOAFNkQy1KwYllOgBqBbCCKOHFFLQ4TnAbmCBB4xg4vIktcj+KDGODutYwJAxNGKCjQ3Ia7C009xAZALq3Mtjgw1A8CDBDTg4AAoyduuN2TpAYMOihNZyowoBWXNAuOcMSoKNGrxzrY4OymjCJe4+iGDAOvDYA4QNPPBggww00OCJJZwoY40KuG1NgkLIaMIkI4aIrIMaSCZ5iie8YCNACy/bw5BDXk7jECwCmWPKOjYeYww2tl3uAkMQqYHeDkmDwwM3Riykgg8XKCTbDajrUIJDnFxzMTOiQGCKDj6Y4oMOntC5RA/rUAALnQ+hkDTMOmDjyUEY8LeOCdRw4s48MV3KVIIaFSgJHmLQIYsZRCBBh6oY0ymJvYICAi1SZ3IUqTr+NUrKzzuVupRPVXcyaYgwXpAqByTAnCnzlWTSywe7XtACOpU0bQKJGExAAYcsxPBBThmLe6lOlIpaKAcRTlDhL47CmIGEqQDT/aEwsohBhRhcTyIMIFZIgYcm4BXI0YyEIAMME+VOAMKVpCUggDesxQwEpBHRI+rWaihkECyuuAKLKLCAQgz6yoAFBrSoMhxwm2LiVYV+icYBU3DDSPIlnfmxzQ0C814S2sCvDr1hD4QYxP24gAUubCEKNnCCE8aACAxUyD1xgFBC1pQEMkxhAAuQwA0nMIADeEGCrmkZItrghjKUgQ2IMIQc1lYHOkBoDI4YQGhEgyFHUGFo38H+zNHGUIZCkM9BhVAR1E60MXTJpAnhe0INJUAHOkhgAAVggxsEWD5DmKENiIBai+BgQO5EyUNxkAAiBNan111EIXayk0meg4QdQA8oJgBCVSwCE5LQpQVBqQieJIe3vd2pTjTJXEqK9ZjF6GQjbHFLWCylKpRoyVFrsZ7zcBCGYhFyIT9ogQpS8Jcw+ACXc+pknlZpBNnFaSKue0kYKonKMMTJBD7QAi9R4IMwiCQMY1pBfWxyuZwsJllqcw8EBuGGR42hAAGIQPvkcBoyqKFnSxKEI4SoM3nGKDtQWprcCgBIlCRBOg440QMc+Dp9TedDAHNCQcK3rwm+oQ9ApOP+EId4wrWIAREUyFhl6IAF7HxJDG5AQAAgAIc3QMABASiAGhLxASiORg4gQIQbzHBCJ7jBEOesTs6UwLNluaYCh3ADIQz2HQvV4Q0gsNIYChE3qTkNESCYYB0ioFEm5GsJZuhAABwwHiKZFKVWiFt1KuAIRbRBEXxQkmXeYEAZDoIOHoKDBFDTqD+VaiYI9VKm3gQ9EpigBRUB1FF40gQl5AAoMfirS2aJk+5pRDEl+WWXPtanx2QEkRxRwg9MMKlHnuRRfTrVQrSgPBKIZZAIkR0OQgASWiVPBS0AAu8MEkqelMWUYKEKWhZnF+PppZIt6IEPWoCCGDwSLVqIgXD+lcCmskSuCWmg0MEgYIUHomUMUyjAHuYgmtGYxg3Z8mZl4kCIRMRUPWToWBO4l4QxYMFEBMyAGjz2kiFwR2gncoAgYmQUfmrQNXCoQRnslhImBM07wCmqIsxghibIVKaZWgIbPCCk1sShCmZgAhkfDAIHUIYycXCAGwEUB8qM5gEbaAOAnVAEJ7SBC75xT84klAHKuIYCh0jEFg9GwDpgkQw47lCK2OBUudGhwlN9zhLcwAEAjKcyc/jwS60g4urMAWiGMIRZ8aiBNfxnEMohjR+tJLlI0oRvhkzJx4jySrDgBbdj5glbZiAVHWjqTzCZZV33hjqCNHYpxXGMQGb+eZM2IS9Xh7rLNDfZ58j9iS1f8YsSAjmQJNTHliTI5a9eoALCWISxihal337C1+Nx5AfLo54SstAqGPjgBZ1apEgue8sejISUZkbdOjdAtjrEwYECC1kXrsCIO2jXDi0VkbYmGAdBtIFzGDmoMInAhEJM4GB1GAAaygBKfXFgxqyBQBXKUMiBFrg01wlwTwAU1NLokSlyYQITbnKcaSkJOBEQhBv0S4ZDeACKE26XG6bgT9HIwcTvRoqKr+Di1igAQjHutx0mcAg2HCJI62JNUY+qNLk9yA0qy9hlIkCFRExVJkxog1PxMKA4fAARbBCEwJfzB5L94QIeukwGEKH+LywE9TJ+jKuX+sRZY7mkTYxWwgwK+5xZztInLRCB8bgXdJfMliQxIchNULKTk/ROkqoEGRCy8AMd9EB5Jxjdmm7ypUzquZZAociaOqmWwX5kVmgBAlBYIMvJ1VUxWBfeRygSycEiKlc9kIgJZACWWD4HUg1xbRJSrPWpm0pfH5Dwtdw1hDel0BEVGOpr3qciag8VDlVoQ+RtopaYjIHi7FsbA7CQnaMkIW0fR5EVyKCqCBK0vx3YaEp2RlDgxAEEa7jwRUZiEXRv4Jxr8+/pX9IENxziAiwkDQROsy+Y2yECIXrOqZiABoVTiWo7a6dl6MYGR9xRbhZ6Q4iymNT+7zzoP5aXGxw6ENN8OQER1feXHezFEdhgCh7ODt4gDyJAjeSgOi4j4rgMApDoMuCAbsqA1thkMcpoubqET5ZCVdTCCJTglkYLgl7HzhjCVd7uLBatS+JuuVaikEjl6nqnJm6CI3ogB17gBWYgdEhgVBJNkxgrTGoFKEbnXfQLUuLEU2BNB4ACB57jAqdutoxjCGbHtizlJYxrr3ogV2JAIk7ABKYHCK4kTGwJBWYA0YqubzKFDTrg8q5IRIiCCcwgWzxPu0xDRNRAfkivCrDDJjLwAw2iDA5h9IZKAaygDYogkHqMfFoIC8KtIMYNj3wvOwCNnz6A3IjqA9KACdL+Yq7SojjIIMkKzEK6DxHfzAw0bjleowbYQPuW4wE4QA3w5U9I5KtaYwE2w/wuKv16qNpYI0SShhErg+MAzvbgYAN+TwjMAA0qwPV+Aw6moIg+YPsM7A1G7GAqgAu47KuA4490QyeSAiHKjEuwhO+MognuDgxfCwZnby8Kx7AWZUsUq8wwos7sMe62SQZ7p+ouawbsggS+4gsdZ+ii8Etm601yYHmoguoqqy0s7bXYIk5U4HBqQnKMQvdABgm+YiKTC7Qq6dFA5wRKwAVE4AUgsgiYAAlyAAVySSTI4kvuDHUwSIM2yAMOIUaijY4GoQ795X3WiRArAwIIIcH8MFP+XkItwmdF3BACBMFt0gxKJKDbhpFjFAItMkjdVtENEELA0q063oDlLswi0uITTYK+zkoCKWANLEhaBiECFtBfHoAK2qANAu4V1arO1IsLbLEyJkAbY2wX1eA/qGCBGJCoQmSI5O/1IKQYfagyNgARKHEIUDG7Pg8CaiAR7KjbkoiAhqppuCw0LOStgAjA4I0JauTdPgnP7CQjFkUxdGB5UrAlUOXv+uK1QImzQObgpPAFgwAmaIXxgsDvNhAjKmeyarAtVMAESsAE+uJVoKMl/AQnsuRPHFIFHqlyGmMtmFAF8u5NKs068aUs+MR7NOUngiIMVKLpAPKRtKAFSuD+LY7HD38gBUYgB6bpXTRwJpqgDKrApqpjiSxsTZzADHqDAe+wFUfP26ogEWyCE+WCCJwgCRBiCewoAlvj/RDBDOoDyV7uQ3DmEKYKEgFkfl7D9yIt2rrSwD6gDXyERlQMHBOxDK4AANzjMhjgEDSUPtyAioTqAQhhLlXKPUpsDARqvfZSDnBRZ3jmQ/QgMNmgEAzmZvzlMJGKi6ZyDNqgChrgROqgAgbBDFAnEfpTFQ3wnSqq3+TGQ12DAYyEDXbuYO7AEB5BiBJMiBLBvOijLPhGcuBlVRiisNATfIrD7ohpuIKpS0hlJxwjtpAHCC6pkNaEMUjCz1YFCXAgBQr+5wv7wuxSaQXr8QVRJdZQgFJGQiEeA04+4nBoxdD66jm1xK4QaSG2s+7+ZLBMjVbaUyJgQCyIwGNO6yFhpVhSEyfWgj/vyV8o7IGMgAm+wAxqQN0qo6WQRjVcrzTEK8HMK1vLIMHMgIhAYBQr4w30YI6YIIsQ4QOkkkoC0yX+g/dKYxKJlZ9AIEqHpAYUAaa6lQwUjFv1lT8J0zLowAoSYQmEoAzcAAQWkGh8NIiC1DUggAN8JF/ykg6kMknNr9/igG7IgA3QQAKsr0ZBhA0QU6lagwEGoQzGYEzlBgJE7sJmqgb+rzSsQBHQgNo0czNBNrq6C24OBg8Iwcq4AA3+gjYK0oALvGAMymgp/qyuig5SViCzSCu+YIgjmFAEWiAHIkkhPlAtuGdP+OwlkAAIdOAGdiC5Uu8orIaQLAgjlEAHRLAFWgAGiMcEeHWVIqcgEvFPkGBWw6BUuwQmsEfTXEcvYOALZ+X79lQ8/QZVOdIi0FEiSQsIUuAEXECaoEOwbGkEQmIk7Azohs4IZPRYW8M0EKFjdqMNNoBeMM8N2OlgwgtoWFcN1EBFWhFlO+oDtjSJvk0RhujGPCBd6+C9OvEg9mVo/KsCB0Y6ErY0QABoEGF253Iu2aANOsoMruBf7WDluos7KA5Ng3IQgshdXyNEsiNLAmgvm6XhtIX+SdVACbLFA3L3QwxwD9wg/qwUZwoBZXlWFYsqPgb0EPbgqbI3nAxBdH1obVpkNJiy49oyx/jAQErmA2rga6agCyCIBe1WaROCE9Nxtw5u0ABDIoWCe4Q1DSVpthpL8y4rBrKHBZCgHjWPI2KL0UIJVYBAelorB8wks4TCb7WjIJMCZBrvIzZXISKJLlKAO5WADHQls5gn6jB4PD1nmT6iUtIsc1fgtS5LBazWioUwC1UgLhA16NKuWLkAYzzUAzhmCQx2ECbAe6U1xqqNDwiBCqRAEPBYEKqgCqTgCZ5gCwCOQ5jlGA2hu3aUDi7KMX+O0XooNCcxJjCoYLSrDvb+IBCooAr0uI/32I6lIApoSnXBywIK2Q0SQRCk5EPegOHKoA3sb3TJtzjejQso9sWYiA30YKXm5qgO1suY5TKoVP7cw2TNYAmUZsYMLKMQIRF+ihGHaokQoRASQE3bpzEhwIHcoIFJ4zLkIAIYAAIU4Ju/eQECgAWIVG8WNQo9ZwhNIPDM4iWUQCVTYK/wglhYIjcn7RONhQpvOJ5xyTZji1aAgAfQ4p0FOlIXoge+IgVyQAueiSSHK+hk4iL3Ti8ksmw5lyMqYu4mkgyU4Ia/0C9eB4G0diaGoD1bq28TCQdIIARYANY8oi+0IEYESwtyoJIWL5vky7MEjJ0u6jL+6IAKXsoNHOEDGCBdIyD7eKZam+wCLqAC9EACnnoCKmACKGAApMANBEGQW+QNKoAQjKgRNgB74QAEEuEKS654l+N4XdUSlzdam7oCJMACpnqqFyCHOmANDqGtrCgOAOEQHGEQ9gCUiWoBEGGV68uV2SDFViIJyiAKoDV912lJ3UMPwEAJ6Ki+kgitDlOLDLgCsGBEataYw3XlCuGZG/Zgpuaao1l+p6SX3Qcz23KoRhcO4CAOatvDSsoKypkFx5joKI+1TIAqvi/13qQ9e2sHBgXQSCmGw/OHNU9sWyC1wMJXLiKvgiUvOgIHBFqIZwcMceCRdok52Qxe+uRjGKv+uG8pBSpF0pSAB27gneNEvZ8DmUyAr2zzOX8wJ4Qg1qbHJSMSLHYgRuiikcQiRrSgLoLiL8gC0KQO+NogA/plSuBgD7DAiKrgAmBudNVpfXsZDh7gAUbqwx3AwxUgABxoEBRgmiOAAuoYBBKAhdL6OgZpY8UX/7RSS+ovapjlAeBgxB3gw3m8pPIpfnQNMyRgCgSBDzzWQ98AA+KjDA5bsxMbdcpVLz8ExvJwpeCgSckAhahAqXq5qEQWqbhxKsuAQlfI5qyRDgBBED6AYsP8vRIBqKwoZonmNY7mmm3K4lA5DgJAt18HCs2MJ4rgTZBABMVCkorjnXEAKO7CcVT+KS0Y4004IrEWdweCa6/s4nCsBjB0YAVWgAfgOwVuYAg0pbaEgppwQCJ6gHQyWDprIiGC4KABz5/fmQXyDjnxYr614tCIAoau7nIEQqMP51d6oJIo4tRtRby14Hp6AAYUr2/J4nQ0ScDm7UQMkAE2gBCm4ALmAHi5KzVkDGfVNCgFQBASAW4SNps9nKnReF0ioApwUmKlw8taw0SPhWB4zj2AtzUcwAPUABECOLMxgw5uGTQ/xAEMKPiM9zGbACGeo7H30g5S5GJd4w0sQBZXzApW27X3QGS1SBhRhGOwdAPiV+UMHg/Q1EIcYAN8agr+VRU9lDT04KUaoeOzudz+PUwQnERversxIgvVWsAufoA+aFB2bImLOZIlIEgmcCugx0I7UMV6jqtVKJd5OLejj0t7UG0FUIAFTN1QTM2v3PEEfiCxtsQxGMt6emDNCuNNsCcFGMkEWnqgpScEbusFpw4nJMkg4EROYGWwUmsGlI9VmPNqcyAGvoIrHskI87Pa9aUDGoAziUoBLCACYn51JwTGWeZmkui+HIEZl3dt3oDH3wDGlyMCrgB5v8Qs0/qRFULf7ZzgJ8wDEKGppMTirBGXW8j3CCbFRQPjsq0njPTKST4PueUyMh5atKjM+f2XSfZKuYMDIrwxT/8a/+8BjKo7yt0XRWPLX6ot31L+xwak5xzASAKMSz5ptooDCQzPkgwSkX4A6VyAK1yHJJgCZHoiDHB9e+DOnQFCRwoVJFy4OFEih5IhRIgg6ZFiBAstYXKokIgkSRIgMUK0+JFESBMtLUS0ANLQSEOGDVsKMVLEiJCYRMLMGKFC4RCVSnagWKGlBwkVOhYOUYJDhYofSloSYamyoZCUKpG08BgmSRMyP16EMNEjCRORP0ycOOHChNoSJkFqJWIkqlO4RKbCFcKQCZspCur4tVMHcJ03b+Dg8YsYMZwPbsggmgBHMGLJdiondjDFTRsKERJXBkw4segKXMwkaWnECZsaEBLD6eCmyVSZTNx8gBPYs2j+0XFAqNn7wPLuN3H+Cq8ToQqbMbYhCLYDZwOi0yrFcmEgmkEhJWTYTCgeGI4FNWOcODk04U1u0XvYNBlTqEL2QmOStKHSerfo538hTEHEBgi46QfYZ7lZJsEhbjTSV4GS7edXA1W0IdNcRBQhlUowxVXTDCKIgAMSMBGRRBBNAIFDCyScANZCHAqhURJDyNjTCinwEJJKMHKkVAs+wHCWQhoNwSMKOIShRQwkGKlEEkr8oGIMGcH4w4ovINEQhivBJReGGxoxRBhK5qSREUkggYNEWuAQwlJDzBhGmisAcZqFdzkVFRAmkBBDGE0ipUIIL2iRRBFFJJFFSQd9+KH+CTpkpGNdXDr1El0tDfFeFX0ZZ9mDf7kGghtsPBbZZOt9ellmiWwgB4SuKkZBaXbBVYQbHQwYHmxOyCRTErZ1dpxnwb7hgRpuEKLAHMI+aKBgDFwxxhh7OWBcHRuwUWddZGCB3XMJ1veYaBaAMUYRTiCCAW6eWssGGfBJgKp2GrlxhQJvUKYbZZU9QAgbbOzhnH6B4WuZAgoOogB/BAr2QBVlODGXXHFVuCGRL3z4KIczKtHDVSeEMAOdXG4MBJZKKAFECijc2ERdPEG5cg5Z0GCWkDN2PEILPIyRKE47/GkRUU06mYMIJsSAqaVOaZnlhXEpgcQLJHwk26FAtID+gg5avDBCCkhgqkSSI+Cw0KV2zjWEUCTMEEbbiU59ZNVhKkmCWSTUHXKdQaBGF6+UVthQGVwIMMdnwfql3sCfhuoGuqUeKCxvqlLxwKnroloHHBS04US2RtTG2qkdmAGxVPbVoK7AzQIWh3RuDLKAss95aiBiFRRChhJsfODAg9dmS8QY3J7KABpjdPddYnqkkYQTTLSxQQSXX1uG4PIllsAhSkRriALF8dcp5J9BMMioHshx+cDg+6VAIa9H0KrABwKmgMNMNAS8yzHNNlUSUJ4FkrhoJAxQUsvUfsaQXilBBzjYgZNQFIIUsEBELjvTmGJAER+YYCkaOdkMhrL+gpP1gCAqAMLJwvCCFKTAhCRSQgv2pBC/PWUus5qYEJ7UAhV4rVAkGmEKtJCFFZAghDAKQ8dSoAOWRMxlfWsIUs4ygywAMQYq+AlTCmUmjg3kbjnDgVuSYKZZMVEuk3KKXhbwPcPJr1NyCJVjMLCe2ukGMQ4QBBtehx35Ke45DwjVEuo0G1sBKzw1cIMT+NeENtQgOKeajBoBE507oiEDj1OcI2dXhwkgIlpqmELiwnOtJjBkKkzgQgIgV7wxMCFciRlPuZzQhim05nAbcMMYylAIBjxIO2PYHiL0cC/IxdFBlmGAIRCBiAvE8VWmqoMDrKAIhDVyN4ZTgCDKUCn+EklsYpcimglE8AI67SQJRnzBnk6gghDJaEgbsVFRjKgUFdxACXZpwkYI0oKfKcEHKvhIB8OgIqEpIQd3m5OTtKCUGDSJREBQwQlIEBYNLTEqL/HSjHagohWIqAhMGOgI+tQzFsTIJigI59lc1iW8WMUsJqCBD8yplKJQRyQow4GNWhADHJiQJWKUKEV96hQnJKIA6pLjwgDTxnaRCpPp80sdbXmICnyykeADTARqkIj7zbAubljkgd5QA865DEa2aVX4lvmgN1yLDWrYQMDE58gDtY4MTnLDFHqXmA2MQTb4E1y3/mLM43kHPIGRgBqU0AQnlEFTn5IM9axHmQX+gKFJegGBAw7TrP0YTq1qUAMiLPA4fGEuMXGQAhsKAb8CUdWS9VMl/jjUEi29qWXk/OAJZkCoAfbAnC4QAZ/o1ASVBIGcSUFi2KTWTyCIUjZH0cGejrQ9gp6kSWPwwYqmqwQqgqxJ8MzajC5qFg5KFC8pkdTSZLJAgii0CVZ7QTqN2IKxhSRsUVLi337KoSQgFCElMAEMhkICFmSlTjFxEg9wwAIW/KBkYCRjeSv1kqhItCW+mkIciKlHA8mBMWNABAVCu0Y6UqExbR2QatdXoDcwYBBlCAme2NAB50imAw9LiRBqcxtUXU4ykZRWB6g1WrT6hQGZyZ1d8eqX1rH+QSU7cd51smMIcE2AtHpQg0acMAYuLKCZftlAG5iAy+shZgFYoGuFZXy4ZdmhAR/wFxry6CAdC+wNU3DEIAZpqvAVqLUSLq+G7MIQlHVFBCfwgZ/I8JAZnKUEJHiBTC/0FJS9YGVtmwEJZTo0cgqxRUqwyRDp1OkVnKVPnc6hCnrAXSqigE5OQorRWvC14JYXNWRkGqBUwIImFSG90x0hCYSUXqLISGlyibBdnAQlQrNoTyQwblPAeKijdBoIbRtaXOzLpT7H1iX425YEvqdH3cABBIkIA6nCvRsHjJgMauCdJTP8BgoYr0703sss/fIaN2jELs9DHTXXGB01lIH+DVJgwBsOg+4hW8HMq7l3YDZQ44YwYQyDyCNiUimt5OVmAlY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</si>
</sst>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0"/>
    <numFmt numFmtId="166" formatCode="0.0"/>
    <numFmt numFmtId="167" formatCode="0.0000"/>
  </numFmts>
  <fonts count="40" x14ac:knownFonts="1">
    <font>
      <sz val="10"/>
      <name val="Arial"/>
      <charset val="238"/>
    </font>
    <font>
      <b/>
      <sz val="14"/>
      <name val="Arial"/>
      <family val="2"/>
      <charset val="238"/>
    </font>
    <font>
      <b/>
      <sz val="16"/>
      <name val="Arial"/>
      <family val="2"/>
      <charset val="238"/>
    </font>
    <font>
      <b/>
      <sz val="16"/>
      <color indexed="10"/>
      <name val="Arial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b/>
      <i/>
      <sz val="10"/>
      <name val="Arial"/>
      <family val="2"/>
      <charset val="238"/>
    </font>
    <font>
      <i/>
      <sz val="10"/>
      <name val="Arial"/>
      <family val="2"/>
      <charset val="238"/>
    </font>
    <font>
      <b/>
      <sz val="10"/>
      <color indexed="10"/>
      <name val="Arial"/>
      <family val="2"/>
      <charset val="238"/>
    </font>
    <font>
      <b/>
      <i/>
      <vertAlign val="subscript"/>
      <sz val="10"/>
      <name val="Arial"/>
      <family val="2"/>
      <charset val="238"/>
    </font>
    <font>
      <b/>
      <sz val="10"/>
      <color rgb="FFFF0000"/>
      <name val="Arial"/>
      <family val="2"/>
      <charset val="238"/>
    </font>
    <font>
      <b/>
      <i/>
      <sz val="10"/>
      <name val="Symbol"/>
      <family val="1"/>
      <charset val="2"/>
    </font>
    <font>
      <sz val="10"/>
      <name val="Symbol"/>
      <family val="1"/>
      <charset val="2"/>
    </font>
    <font>
      <vertAlign val="superscript"/>
      <sz val="10"/>
      <name val="Arial"/>
      <family val="2"/>
      <charset val="238"/>
    </font>
    <font>
      <b/>
      <i/>
      <vertAlign val="subscript"/>
      <sz val="10"/>
      <name val="Symbol"/>
      <family val="1"/>
      <charset val="2"/>
    </font>
    <font>
      <b/>
      <sz val="11"/>
      <color indexed="12"/>
      <name val="Symbol"/>
      <family val="1"/>
      <charset val="2"/>
    </font>
    <font>
      <b/>
      <sz val="10"/>
      <name val="Symbol"/>
      <family val="1"/>
      <charset val="2"/>
    </font>
    <font>
      <b/>
      <i/>
      <sz val="10"/>
      <color indexed="12"/>
      <name val="Arial"/>
      <family val="2"/>
      <charset val="238"/>
    </font>
    <font>
      <sz val="10"/>
      <color indexed="12"/>
      <name val="Arial"/>
      <family val="2"/>
      <charset val="238"/>
    </font>
    <font>
      <b/>
      <sz val="10"/>
      <color indexed="12"/>
      <name val="Arial"/>
      <family val="2"/>
      <charset val="238"/>
    </font>
    <font>
      <b/>
      <i/>
      <vertAlign val="subscript"/>
      <sz val="10"/>
      <color indexed="12"/>
      <name val="Arial"/>
      <family val="2"/>
      <charset val="238"/>
    </font>
    <font>
      <b/>
      <i/>
      <sz val="10"/>
      <color indexed="12"/>
      <name val="Symbol"/>
      <family val="1"/>
      <charset val="2"/>
    </font>
    <font>
      <b/>
      <i/>
      <sz val="11"/>
      <name val="Arial"/>
      <family val="2"/>
      <charset val="238"/>
    </font>
    <font>
      <b/>
      <i/>
      <sz val="10"/>
      <color rgb="FFFF0000"/>
      <name val="Symbol"/>
      <family val="1"/>
      <charset val="2"/>
    </font>
    <font>
      <b/>
      <i/>
      <sz val="10"/>
      <color rgb="FFFF0000"/>
      <name val="Arial"/>
      <family val="2"/>
      <charset val="238"/>
    </font>
    <font>
      <b/>
      <i/>
      <vertAlign val="subscript"/>
      <sz val="10"/>
      <color rgb="FFFF0000"/>
      <name val="Arial"/>
      <family val="2"/>
      <charset val="238"/>
    </font>
    <font>
      <b/>
      <sz val="11"/>
      <name val="Symbol"/>
      <family val="1"/>
      <charset val="2"/>
    </font>
    <font>
      <b/>
      <i/>
      <vertAlign val="subscript"/>
      <sz val="11"/>
      <name val="Arial"/>
      <family val="2"/>
      <charset val="238"/>
    </font>
    <font>
      <b/>
      <sz val="11"/>
      <name val="Arial"/>
      <family val="2"/>
      <charset val="238"/>
    </font>
    <font>
      <b/>
      <vertAlign val="superscript"/>
      <sz val="10"/>
      <name val="Arial"/>
      <family val="2"/>
      <charset val="238"/>
    </font>
    <font>
      <b/>
      <vertAlign val="subscript"/>
      <sz val="10"/>
      <name val="Arial"/>
      <family val="2"/>
      <charset val="238"/>
    </font>
    <font>
      <b/>
      <sz val="10"/>
      <name val="Calibri"/>
      <family val="2"/>
      <charset val="238"/>
    </font>
    <font>
      <i/>
      <sz val="10"/>
      <color rgb="FFFF0000"/>
      <name val="Symbol"/>
      <family val="1"/>
      <charset val="2"/>
    </font>
    <font>
      <b/>
      <sz val="10"/>
      <color rgb="FF0000FF"/>
      <name val="Arial"/>
      <family val="2"/>
      <charset val="238"/>
    </font>
    <font>
      <b/>
      <sz val="11"/>
      <color rgb="FF0000FF"/>
      <name val="Symbol"/>
      <family val="1"/>
      <charset val="2"/>
    </font>
    <font>
      <b/>
      <i/>
      <vertAlign val="subscript"/>
      <sz val="11"/>
      <color rgb="FF0000FF"/>
      <name val="Arial"/>
      <family val="2"/>
      <charset val="238"/>
    </font>
    <font>
      <b/>
      <sz val="16"/>
      <color rgb="FF0000FF"/>
      <name val="Arial"/>
      <family val="2"/>
      <charset val="238"/>
    </font>
    <font>
      <b/>
      <i/>
      <sz val="12"/>
      <color indexed="12"/>
      <name val="Arial"/>
      <family val="2"/>
      <charset val="238"/>
    </font>
    <font>
      <sz val="10"/>
      <name val="Arial"/>
      <family val="2"/>
    </font>
    <font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</patternFill>
    </fill>
  </fills>
  <borders count="3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0" fontId="39" fillId="8" borderId="28" applyNumberFormat="0" applyFont="0" applyAlignment="0" applyProtection="0"/>
  </cellStyleXfs>
  <cellXfs count="156">
    <xf numFmtId="0" fontId="0" fillId="0" borderId="0" xfId="0"/>
    <xf numFmtId="0" fontId="5" fillId="0" borderId="0" xfId="1"/>
    <xf numFmtId="0" fontId="4" fillId="4" borderId="6" xfId="1" applyFont="1" applyFill="1" applyBorder="1" applyProtection="1"/>
    <xf numFmtId="0" fontId="5" fillId="4" borderId="7" xfId="1" applyFont="1" applyFill="1" applyBorder="1" applyProtection="1"/>
    <xf numFmtId="0" fontId="5" fillId="4" borderId="8" xfId="1" applyFont="1" applyFill="1" applyBorder="1" applyProtection="1"/>
    <xf numFmtId="0" fontId="6" fillId="3" borderId="9" xfId="1" applyFont="1" applyFill="1" applyBorder="1" applyProtection="1"/>
    <xf numFmtId="0" fontId="5" fillId="3" borderId="7" xfId="1" applyFill="1" applyBorder="1" applyProtection="1"/>
    <xf numFmtId="0" fontId="7" fillId="5" borderId="9" xfId="1" applyFont="1" applyFill="1" applyBorder="1" applyProtection="1"/>
    <xf numFmtId="0" fontId="6" fillId="5" borderId="7" xfId="1" applyFont="1" applyFill="1" applyBorder="1" applyAlignment="1" applyProtection="1">
      <alignment horizontal="right"/>
    </xf>
    <xf numFmtId="2" fontId="8" fillId="6" borderId="7" xfId="1" applyNumberFormat="1" applyFont="1" applyFill="1" applyBorder="1" applyProtection="1">
      <protection locked="0"/>
    </xf>
    <xf numFmtId="0" fontId="5" fillId="5" borderId="8" xfId="1" applyFill="1" applyBorder="1" applyProtection="1"/>
    <xf numFmtId="0" fontId="5" fillId="3" borderId="10" xfId="1" applyFill="1" applyBorder="1" applyProtection="1"/>
    <xf numFmtId="0" fontId="5" fillId="3" borderId="0" xfId="1" applyFill="1" applyBorder="1" applyProtection="1"/>
    <xf numFmtId="0" fontId="7" fillId="5" borderId="10" xfId="1" applyFont="1" applyFill="1" applyBorder="1" applyProtection="1"/>
    <xf numFmtId="0" fontId="6" fillId="5" borderId="0" xfId="1" applyFont="1" applyFill="1" applyBorder="1" applyAlignment="1" applyProtection="1">
      <alignment horizontal="right"/>
    </xf>
    <xf numFmtId="2" fontId="8" fillId="6" borderId="0" xfId="1" applyNumberFormat="1" applyFont="1" applyFill="1" applyBorder="1" applyProtection="1">
      <protection locked="0"/>
    </xf>
    <xf numFmtId="0" fontId="5" fillId="5" borderId="11" xfId="1" applyFill="1" applyBorder="1" applyProtection="1"/>
    <xf numFmtId="0" fontId="7" fillId="5" borderId="12" xfId="1" applyFont="1" applyFill="1" applyBorder="1" applyProtection="1"/>
    <xf numFmtId="0" fontId="6" fillId="5" borderId="13" xfId="1" applyFont="1" applyFill="1" applyBorder="1" applyAlignment="1" applyProtection="1">
      <alignment horizontal="right"/>
    </xf>
    <xf numFmtId="2" fontId="8" fillId="6" borderId="13" xfId="1" applyNumberFormat="1" applyFont="1" applyFill="1" applyBorder="1" applyProtection="1">
      <protection locked="0"/>
    </xf>
    <xf numFmtId="0" fontId="5" fillId="5" borderId="14" xfId="1" applyFill="1" applyBorder="1" applyProtection="1"/>
    <xf numFmtId="0" fontId="7" fillId="3" borderId="15" xfId="1" applyFont="1" applyFill="1" applyBorder="1" applyProtection="1"/>
    <xf numFmtId="0" fontId="6" fillId="3" borderId="0" xfId="1" applyFont="1" applyFill="1" applyBorder="1" applyProtection="1"/>
    <xf numFmtId="0" fontId="5" fillId="3" borderId="11" xfId="1" applyFill="1" applyBorder="1" applyProtection="1"/>
    <xf numFmtId="0" fontId="6" fillId="3" borderId="0" xfId="1" applyFont="1" applyFill="1" applyBorder="1" applyAlignment="1" applyProtection="1">
      <alignment horizontal="right"/>
    </xf>
    <xf numFmtId="164" fontId="5" fillId="3" borderId="0" xfId="1" applyNumberFormat="1" applyFill="1" applyBorder="1" applyProtection="1"/>
    <xf numFmtId="165" fontId="5" fillId="3" borderId="0" xfId="1" applyNumberFormat="1" applyFill="1" applyBorder="1" applyProtection="1"/>
    <xf numFmtId="2" fontId="5" fillId="3" borderId="0" xfId="1" applyNumberFormat="1" applyFill="1" applyBorder="1" applyProtection="1"/>
    <xf numFmtId="0" fontId="7" fillId="3" borderId="0" xfId="1" applyFont="1" applyFill="1" applyBorder="1" applyProtection="1"/>
    <xf numFmtId="0" fontId="10" fillId="3" borderId="11" xfId="1" applyFont="1" applyFill="1" applyBorder="1" applyProtection="1"/>
    <xf numFmtId="0" fontId="4" fillId="4" borderId="16" xfId="1" applyFont="1" applyFill="1" applyBorder="1" applyProtection="1"/>
    <xf numFmtId="0" fontId="5" fillId="4" borderId="17" xfId="1" applyFont="1" applyFill="1" applyBorder="1" applyProtection="1"/>
    <xf numFmtId="0" fontId="5" fillId="4" borderId="18" xfId="1" applyFont="1" applyFill="1" applyBorder="1" applyProtection="1"/>
    <xf numFmtId="0" fontId="11" fillId="5" borderId="7" xfId="1" applyFont="1" applyFill="1" applyBorder="1" applyAlignment="1" applyProtection="1">
      <alignment horizontal="right"/>
    </xf>
    <xf numFmtId="0" fontId="12" fillId="5" borderId="7" xfId="1" applyFont="1" applyFill="1" applyBorder="1" applyProtection="1"/>
    <xf numFmtId="0" fontId="11" fillId="5" borderId="0" xfId="1" applyFont="1" applyFill="1" applyBorder="1" applyAlignment="1" applyProtection="1">
      <alignment horizontal="right"/>
    </xf>
    <xf numFmtId="0" fontId="12" fillId="5" borderId="0" xfId="1" applyFont="1" applyFill="1" applyBorder="1" applyProtection="1"/>
    <xf numFmtId="0" fontId="5" fillId="5" borderId="10" xfId="1" applyFill="1" applyBorder="1" applyProtection="1"/>
    <xf numFmtId="0" fontId="5" fillId="5" borderId="0" xfId="1" applyFill="1" applyBorder="1" applyProtection="1"/>
    <xf numFmtId="0" fontId="5" fillId="5" borderId="0" xfId="1" applyFont="1" applyFill="1" applyBorder="1" applyProtection="1"/>
    <xf numFmtId="0" fontId="11" fillId="5" borderId="13" xfId="1" applyFont="1" applyFill="1" applyBorder="1" applyAlignment="1" applyProtection="1">
      <alignment horizontal="right"/>
    </xf>
    <xf numFmtId="0" fontId="4" fillId="5" borderId="14" xfId="1" applyFont="1" applyFill="1" applyBorder="1" applyProtection="1"/>
    <xf numFmtId="0" fontId="5" fillId="3" borderId="15" xfId="1" applyFill="1" applyBorder="1" applyProtection="1"/>
    <xf numFmtId="0" fontId="11" fillId="3" borderId="0" xfId="1" applyFont="1" applyFill="1" applyBorder="1" applyAlignment="1" applyProtection="1">
      <alignment horizontal="right"/>
    </xf>
    <xf numFmtId="0" fontId="12" fillId="3" borderId="0" xfId="1" applyFont="1" applyFill="1" applyBorder="1" applyProtection="1"/>
    <xf numFmtId="0" fontId="5" fillId="0" borderId="0" xfId="1" applyFill="1" applyBorder="1"/>
    <xf numFmtId="0" fontId="15" fillId="0" borderId="0" xfId="1" applyFont="1" applyFill="1" applyBorder="1" applyAlignment="1" applyProtection="1">
      <alignment horizontal="center"/>
    </xf>
    <xf numFmtId="0" fontId="5" fillId="3" borderId="15" xfId="1" applyFont="1" applyFill="1" applyBorder="1" applyProtection="1"/>
    <xf numFmtId="0" fontId="16" fillId="0" borderId="0" xfId="1" applyFont="1" applyFill="1" applyBorder="1" applyAlignment="1">
      <alignment horizontal="center"/>
    </xf>
    <xf numFmtId="0" fontId="4" fillId="3" borderId="15" xfId="1" applyFont="1" applyFill="1" applyBorder="1" applyProtection="1"/>
    <xf numFmtId="0" fontId="5" fillId="3" borderId="3" xfId="1" applyFill="1" applyBorder="1" applyProtection="1"/>
    <xf numFmtId="0" fontId="5" fillId="7" borderId="0" xfId="1" applyFill="1"/>
    <xf numFmtId="0" fontId="18" fillId="2" borderId="0" xfId="1" applyFont="1" applyFill="1" applyBorder="1" applyProtection="1"/>
    <xf numFmtId="0" fontId="19" fillId="2" borderId="15" xfId="1" applyFont="1" applyFill="1" applyBorder="1" applyProtection="1"/>
    <xf numFmtId="0" fontId="17" fillId="2" borderId="0" xfId="1" applyFont="1" applyFill="1" applyBorder="1" applyAlignment="1" applyProtection="1">
      <alignment horizontal="right"/>
    </xf>
    <xf numFmtId="164" fontId="19" fillId="2" borderId="0" xfId="1" applyNumberFormat="1" applyFont="1" applyFill="1" applyBorder="1" applyProtection="1"/>
    <xf numFmtId="0" fontId="21" fillId="2" borderId="0" xfId="1" applyFont="1" applyFill="1" applyBorder="1" applyAlignment="1" applyProtection="1">
      <alignment horizontal="right"/>
    </xf>
    <xf numFmtId="0" fontId="22" fillId="2" borderId="20" xfId="1" applyFont="1" applyFill="1" applyBorder="1" applyAlignment="1" applyProtection="1">
      <alignment horizontal="center"/>
    </xf>
    <xf numFmtId="0" fontId="22" fillId="7" borderId="20" xfId="1" applyFont="1" applyFill="1" applyBorder="1" applyAlignment="1">
      <alignment horizontal="center"/>
    </xf>
    <xf numFmtId="0" fontId="6" fillId="7" borderId="20" xfId="1" applyFont="1" applyFill="1" applyBorder="1" applyAlignment="1" applyProtection="1">
      <alignment horizontal="center"/>
    </xf>
    <xf numFmtId="0" fontId="23" fillId="7" borderId="20" xfId="1" applyFont="1" applyFill="1" applyBorder="1" applyAlignment="1" applyProtection="1">
      <alignment horizontal="center"/>
    </xf>
    <xf numFmtId="0" fontId="24" fillId="7" borderId="20" xfId="1" applyFont="1" applyFill="1" applyBorder="1" applyAlignment="1" applyProtection="1">
      <alignment horizontal="center"/>
    </xf>
    <xf numFmtId="0" fontId="22" fillId="2" borderId="1" xfId="1" applyFont="1" applyFill="1" applyBorder="1" applyAlignment="1" applyProtection="1">
      <alignment horizontal="center"/>
    </xf>
    <xf numFmtId="0" fontId="6" fillId="7" borderId="5" xfId="1" applyFont="1" applyFill="1" applyBorder="1" applyAlignment="1">
      <alignment horizontal="center"/>
    </xf>
    <xf numFmtId="0" fontId="4" fillId="7" borderId="5" xfId="1" applyFont="1" applyFill="1" applyBorder="1" applyAlignment="1" applyProtection="1">
      <alignment horizontal="center"/>
    </xf>
    <xf numFmtId="0" fontId="4" fillId="7" borderId="7" xfId="1" applyFont="1" applyFill="1" applyBorder="1" applyAlignment="1" applyProtection="1">
      <alignment horizontal="center"/>
    </xf>
    <xf numFmtId="0" fontId="5" fillId="7" borderId="1" xfId="1" applyFill="1" applyBorder="1"/>
    <xf numFmtId="0" fontId="10" fillId="7" borderId="5" xfId="1" applyFont="1" applyFill="1" applyBorder="1" applyAlignment="1" applyProtection="1">
      <alignment horizontal="center"/>
    </xf>
    <xf numFmtId="0" fontId="22" fillId="2" borderId="21" xfId="1" applyFont="1" applyFill="1" applyBorder="1" applyAlignment="1" applyProtection="1">
      <alignment horizontal="center"/>
    </xf>
    <xf numFmtId="0" fontId="6" fillId="7" borderId="22" xfId="1" applyFont="1" applyFill="1" applyBorder="1" applyAlignment="1">
      <alignment horizontal="center"/>
    </xf>
    <xf numFmtId="0" fontId="24" fillId="2" borderId="22" xfId="1" applyFont="1" applyFill="1" applyBorder="1" applyAlignment="1" applyProtection="1">
      <alignment horizontal="right"/>
    </xf>
    <xf numFmtId="0" fontId="10" fillId="7" borderId="22" xfId="1" applyFont="1" applyFill="1" applyBorder="1"/>
    <xf numFmtId="0" fontId="22" fillId="2" borderId="9" xfId="1" applyFont="1" applyFill="1" applyBorder="1" applyAlignment="1" applyProtection="1">
      <alignment horizontal="center"/>
    </xf>
    <xf numFmtId="0" fontId="5" fillId="0" borderId="0" xfId="1" applyAlignment="1">
      <alignment horizontal="right" vertical="center"/>
    </xf>
    <xf numFmtId="167" fontId="5" fillId="0" borderId="0" xfId="1" applyNumberFormat="1"/>
    <xf numFmtId="2" fontId="10" fillId="6" borderId="0" xfId="1" applyNumberFormat="1" applyFont="1" applyFill="1" applyBorder="1" applyProtection="1">
      <protection locked="0"/>
    </xf>
    <xf numFmtId="0" fontId="4" fillId="7" borderId="0" xfId="1" applyFont="1" applyFill="1"/>
    <xf numFmtId="0" fontId="5" fillId="0" borderId="0" xfId="1" applyBorder="1"/>
    <xf numFmtId="166" fontId="8" fillId="6" borderId="7" xfId="1" applyNumberFormat="1" applyFont="1" applyFill="1" applyBorder="1" applyProtection="1">
      <protection locked="0"/>
    </xf>
    <xf numFmtId="0" fontId="22" fillId="2" borderId="12" xfId="1" applyFont="1" applyFill="1" applyBorder="1" applyAlignment="1" applyProtection="1">
      <alignment horizontal="center"/>
    </xf>
    <xf numFmtId="0" fontId="22" fillId="2" borderId="10" xfId="1" applyFont="1" applyFill="1" applyBorder="1" applyAlignment="1" applyProtection="1">
      <alignment horizontal="center"/>
    </xf>
    <xf numFmtId="0" fontId="22" fillId="2" borderId="22" xfId="1" applyFont="1" applyFill="1" applyBorder="1" applyAlignment="1" applyProtection="1">
      <alignment horizontal="center"/>
    </xf>
    <xf numFmtId="0" fontId="22" fillId="2" borderId="23" xfId="1" applyFont="1" applyFill="1" applyBorder="1" applyAlignment="1" applyProtection="1">
      <alignment horizontal="center"/>
    </xf>
    <xf numFmtId="0" fontId="6" fillId="7" borderId="23" xfId="1" applyFont="1" applyFill="1" applyBorder="1" applyAlignment="1">
      <alignment horizontal="center"/>
    </xf>
    <xf numFmtId="0" fontId="24" fillId="2" borderId="23" xfId="1" applyFont="1" applyFill="1" applyBorder="1" applyAlignment="1" applyProtection="1">
      <alignment horizontal="right"/>
    </xf>
    <xf numFmtId="0" fontId="10" fillId="7" borderId="23" xfId="1" applyFont="1" applyFill="1" applyBorder="1"/>
    <xf numFmtId="0" fontId="22" fillId="2" borderId="19" xfId="1" applyFont="1" applyFill="1" applyBorder="1" applyAlignment="1" applyProtection="1">
      <alignment horizontal="center"/>
    </xf>
    <xf numFmtId="0" fontId="6" fillId="7" borderId="24" xfId="1" applyFont="1" applyFill="1" applyBorder="1" applyAlignment="1">
      <alignment horizontal="center"/>
    </xf>
    <xf numFmtId="0" fontId="24" fillId="2" borderId="24" xfId="1" applyFont="1" applyFill="1" applyBorder="1" applyAlignment="1" applyProtection="1">
      <alignment horizontal="right"/>
    </xf>
    <xf numFmtId="0" fontId="10" fillId="7" borderId="24" xfId="1" applyFont="1" applyFill="1" applyBorder="1"/>
    <xf numFmtId="166" fontId="24" fillId="2" borderId="22" xfId="1" applyNumberFormat="1" applyFont="1" applyFill="1" applyBorder="1" applyAlignment="1" applyProtection="1">
      <alignment horizontal="right"/>
    </xf>
    <xf numFmtId="2" fontId="10" fillId="6" borderId="0" xfId="1" applyNumberFormat="1" applyFont="1" applyFill="1" applyBorder="1" applyAlignment="1" applyProtection="1">
      <protection locked="0"/>
    </xf>
    <xf numFmtId="2" fontId="10" fillId="6" borderId="13" xfId="1" applyNumberFormat="1" applyFont="1" applyFill="1" applyBorder="1" applyProtection="1">
      <protection locked="0"/>
    </xf>
    <xf numFmtId="0" fontId="32" fillId="7" borderId="20" xfId="1" applyFont="1" applyFill="1" applyBorder="1" applyAlignment="1" applyProtection="1">
      <alignment horizontal="center"/>
    </xf>
    <xf numFmtId="0" fontId="23" fillId="2" borderId="0" xfId="1" applyFont="1" applyFill="1" applyBorder="1" applyAlignment="1" applyProtection="1">
      <alignment horizontal="right"/>
    </xf>
    <xf numFmtId="2" fontId="5" fillId="6" borderId="0" xfId="1" applyNumberFormat="1" applyFont="1" applyFill="1" applyBorder="1" applyProtection="1">
      <protection locked="0"/>
    </xf>
    <xf numFmtId="164" fontId="33" fillId="2" borderId="0" xfId="1" applyNumberFormat="1" applyFont="1" applyFill="1" applyBorder="1" applyProtection="1"/>
    <xf numFmtId="0" fontId="34" fillId="7" borderId="20" xfId="1" applyFont="1" applyFill="1" applyBorder="1" applyAlignment="1" applyProtection="1">
      <alignment horizontal="center"/>
    </xf>
    <xf numFmtId="0" fontId="33" fillId="7" borderId="0" xfId="1" applyFont="1" applyFill="1" applyAlignment="1">
      <alignment horizontal="center"/>
    </xf>
    <xf numFmtId="2" fontId="33" fillId="7" borderId="22" xfId="1" applyNumberFormat="1" applyFont="1" applyFill="1" applyBorder="1"/>
    <xf numFmtId="2" fontId="33" fillId="7" borderId="24" xfId="1" applyNumberFormat="1" applyFont="1" applyFill="1" applyBorder="1"/>
    <xf numFmtId="2" fontId="33" fillId="7" borderId="23" xfId="1" applyNumberFormat="1" applyFont="1" applyFill="1" applyBorder="1"/>
    <xf numFmtId="167" fontId="33" fillId="7" borderId="22" xfId="1" applyNumberFormat="1" applyFont="1" applyFill="1" applyBorder="1"/>
    <xf numFmtId="167" fontId="33" fillId="7" borderId="24" xfId="1" applyNumberFormat="1" applyFont="1" applyFill="1" applyBorder="1"/>
    <xf numFmtId="167" fontId="33" fillId="7" borderId="23" xfId="1" applyNumberFormat="1" applyFont="1" applyFill="1" applyBorder="1"/>
    <xf numFmtId="2" fontId="6" fillId="2" borderId="18" xfId="1" applyNumberFormat="1" applyFont="1" applyFill="1" applyBorder="1" applyAlignment="1" applyProtection="1">
      <alignment horizontal="right"/>
    </xf>
    <xf numFmtId="2" fontId="6" fillId="2" borderId="25" xfId="1" applyNumberFormat="1" applyFont="1" applyFill="1" applyBorder="1" applyAlignment="1" applyProtection="1">
      <alignment horizontal="right"/>
    </xf>
    <xf numFmtId="2" fontId="6" fillId="2" borderId="14" xfId="1" applyNumberFormat="1" applyFont="1" applyFill="1" applyBorder="1" applyAlignment="1" applyProtection="1">
      <alignment horizontal="right"/>
    </xf>
    <xf numFmtId="166" fontId="24" fillId="2" borderId="23" xfId="1" applyNumberFormat="1" applyFont="1" applyFill="1" applyBorder="1" applyAlignment="1" applyProtection="1">
      <alignment horizontal="right"/>
    </xf>
    <xf numFmtId="166" fontId="24" fillId="2" borderId="24" xfId="1" applyNumberFormat="1" applyFont="1" applyFill="1" applyBorder="1" applyAlignment="1" applyProtection="1">
      <alignment horizontal="right"/>
    </xf>
    <xf numFmtId="0" fontId="18" fillId="2" borderId="15" xfId="1" applyFont="1" applyFill="1" applyBorder="1" applyProtection="1"/>
    <xf numFmtId="0" fontId="18" fillId="2" borderId="20" xfId="1" applyFont="1" applyFill="1" applyBorder="1" applyProtection="1"/>
    <xf numFmtId="0" fontId="18" fillId="2" borderId="27" xfId="1" applyFont="1" applyFill="1" applyBorder="1" applyProtection="1"/>
    <xf numFmtId="0" fontId="37" fillId="2" borderId="26" xfId="1" applyFont="1" applyFill="1" applyBorder="1" applyProtection="1"/>
    <xf numFmtId="0" fontId="6" fillId="5" borderId="21" xfId="1" applyFont="1" applyFill="1" applyBorder="1" applyProtection="1"/>
    <xf numFmtId="0" fontId="6" fillId="5" borderId="17" xfId="1" applyFont="1" applyFill="1" applyBorder="1" applyAlignment="1" applyProtection="1">
      <alignment horizontal="right"/>
    </xf>
    <xf numFmtId="2" fontId="8" fillId="6" borderId="17" xfId="1" applyNumberFormat="1" applyFont="1" applyFill="1" applyBorder="1" applyProtection="1">
      <protection locked="0"/>
    </xf>
    <xf numFmtId="0" fontId="4" fillId="5" borderId="18" xfId="1" applyFont="1" applyFill="1" applyBorder="1" applyProtection="1"/>
    <xf numFmtId="0" fontId="5" fillId="3" borderId="25" xfId="1" applyFill="1" applyBorder="1" applyProtection="1"/>
    <xf numFmtId="0" fontId="38" fillId="0" borderId="0" xfId="0" applyFont="1"/>
    <xf numFmtId="0" fontId="5" fillId="8" borderId="28" xfId="2" applyFont="1"/>
    <xf numFmtId="2" fontId="7" fillId="8" borderId="28" xfId="2" applyNumberFormat="1" applyFont="1" applyAlignment="1" applyProtection="1">
      <alignment horizontal="right"/>
    </xf>
    <xf numFmtId="2" fontId="5" fillId="8" borderId="28" xfId="2" applyNumberFormat="1" applyFont="1"/>
    <xf numFmtId="2" fontId="5" fillId="8" borderId="28" xfId="2" applyNumberFormat="1" applyFont="1" applyProtection="1"/>
    <xf numFmtId="167" fontId="5" fillId="8" borderId="28" xfId="2" applyNumberFormat="1" applyFont="1"/>
    <xf numFmtId="2" fontId="7" fillId="8" borderId="28" xfId="2" applyNumberFormat="1" applyFont="1" applyAlignment="1" applyProtection="1">
      <alignment horizontal="right" vertical="center"/>
    </xf>
    <xf numFmtId="2" fontId="5" fillId="8" borderId="28" xfId="2" applyNumberFormat="1" applyFont="1" applyAlignment="1">
      <alignment horizontal="right" vertical="center"/>
    </xf>
    <xf numFmtId="2" fontId="5" fillId="8" borderId="28" xfId="2" applyNumberFormat="1" applyFont="1" applyAlignment="1" applyProtection="1">
      <alignment horizontal="right" vertical="center"/>
    </xf>
    <xf numFmtId="0" fontId="5" fillId="0" borderId="0" xfId="1" applyFill="1"/>
    <xf numFmtId="0" fontId="4" fillId="8" borderId="29" xfId="2" applyFont="1" applyBorder="1" applyAlignment="1" applyProtection="1">
      <alignment horizontal="center"/>
    </xf>
    <xf numFmtId="0" fontId="21" fillId="8" borderId="29" xfId="2" applyFont="1" applyBorder="1" applyAlignment="1" applyProtection="1">
      <alignment horizontal="right"/>
    </xf>
    <xf numFmtId="0" fontId="5" fillId="8" borderId="29" xfId="2" applyFont="1" applyBorder="1"/>
    <xf numFmtId="0" fontId="5" fillId="8" borderId="29" xfId="2" applyFont="1" applyBorder="1" applyAlignment="1">
      <alignment horizontal="center"/>
    </xf>
    <xf numFmtId="0" fontId="5" fillId="7" borderId="3" xfId="1" applyFill="1" applyBorder="1"/>
    <xf numFmtId="0" fontId="5" fillId="0" borderId="3" xfId="1" applyFill="1" applyBorder="1"/>
    <xf numFmtId="2" fontId="7" fillId="8" borderId="29" xfId="2" applyNumberFormat="1" applyFont="1" applyBorder="1" applyAlignment="1" applyProtection="1">
      <alignment horizontal="right"/>
    </xf>
    <xf numFmtId="2" fontId="5" fillId="8" borderId="29" xfId="2" applyNumberFormat="1" applyFont="1" applyBorder="1"/>
    <xf numFmtId="2" fontId="5" fillId="8" borderId="29" xfId="2" applyNumberFormat="1" applyFont="1" applyBorder="1" applyProtection="1"/>
    <xf numFmtId="167" fontId="5" fillId="8" borderId="29" xfId="2" applyNumberFormat="1" applyFont="1" applyBorder="1"/>
    <xf numFmtId="2" fontId="7" fillId="8" borderId="30" xfId="2" applyNumberFormat="1" applyFont="1" applyBorder="1" applyAlignment="1" applyProtection="1">
      <alignment horizontal="right"/>
    </xf>
    <xf numFmtId="2" fontId="7" fillId="8" borderId="31" xfId="2" applyNumberFormat="1" applyFont="1" applyBorder="1" applyAlignment="1" applyProtection="1">
      <alignment horizontal="right"/>
    </xf>
    <xf numFmtId="2" fontId="5" fillId="8" borderId="31" xfId="2" applyNumberFormat="1" applyFont="1" applyBorder="1"/>
    <xf numFmtId="2" fontId="5" fillId="8" borderId="31" xfId="2" applyNumberFormat="1" applyFont="1" applyBorder="1" applyProtection="1"/>
    <xf numFmtId="0" fontId="5" fillId="8" borderId="31" xfId="2" applyFont="1" applyBorder="1"/>
    <xf numFmtId="167" fontId="5" fillId="8" borderId="31" xfId="2" applyNumberFormat="1" applyFont="1" applyBorder="1"/>
    <xf numFmtId="0" fontId="6" fillId="8" borderId="32" xfId="2" applyFont="1" applyBorder="1" applyAlignment="1" applyProtection="1">
      <alignment horizontal="center"/>
    </xf>
    <xf numFmtId="0" fontId="11" fillId="8" borderId="32" xfId="2" applyFont="1" applyBorder="1" applyAlignment="1" applyProtection="1">
      <alignment horizontal="center"/>
    </xf>
    <xf numFmtId="0" fontId="26" fillId="8" borderId="32" xfId="2" applyFont="1" applyBorder="1" applyAlignment="1" applyProtection="1">
      <alignment horizontal="center"/>
    </xf>
    <xf numFmtId="0" fontId="28" fillId="8" borderId="32" xfId="2" applyFont="1" applyBorder="1" applyAlignment="1" applyProtection="1">
      <alignment horizontal="center"/>
    </xf>
    <xf numFmtId="0" fontId="4" fillId="8" borderId="32" xfId="2" applyFont="1" applyBorder="1" applyAlignment="1" applyProtection="1">
      <alignment horizontal="center"/>
    </xf>
    <xf numFmtId="0" fontId="1" fillId="2" borderId="15" xfId="1" applyFont="1" applyFill="1" applyBorder="1" applyAlignment="1" applyProtection="1">
      <alignment horizontal="center" vertical="center"/>
    </xf>
    <xf numFmtId="0" fontId="1" fillId="2" borderId="0" xfId="1" applyFont="1" applyFill="1" applyBorder="1" applyAlignment="1" applyProtection="1">
      <alignment horizontal="center" vertical="center"/>
    </xf>
    <xf numFmtId="0" fontId="1" fillId="2" borderId="2" xfId="1" applyFont="1" applyFill="1" applyBorder="1" applyAlignment="1" applyProtection="1">
      <alignment horizontal="center" vertical="center"/>
    </xf>
    <xf numFmtId="0" fontId="1" fillId="2" borderId="3" xfId="1" applyFont="1" applyFill="1" applyBorder="1" applyAlignment="1" applyProtection="1">
      <alignment horizontal="center" vertical="center"/>
    </xf>
    <xf numFmtId="0" fontId="2" fillId="3" borderId="4" xfId="1" applyFont="1" applyFill="1" applyBorder="1" applyAlignment="1" applyProtection="1">
      <alignment horizontal="center"/>
    </xf>
    <xf numFmtId="0" fontId="2" fillId="3" borderId="5" xfId="1" applyFont="1" applyFill="1" applyBorder="1" applyAlignment="1" applyProtection="1">
      <alignment horizontal="center"/>
    </xf>
  </cellXfs>
  <cellStyles count="3">
    <cellStyle name="Normal" xfId="0" builtinId="0"/>
    <cellStyle name="Normal 2" xfId="1"/>
    <cellStyle name="Note" xfId="2" builtinId="1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157595</xdr:colOff>
      <xdr:row>17</xdr:row>
      <xdr:rowOff>89190</xdr:rowOff>
    </xdr:from>
    <xdr:to>
      <xdr:col>11</xdr:col>
      <xdr:colOff>485775</xdr:colOff>
      <xdr:row>32</xdr:row>
      <xdr:rowOff>104775</xdr:rowOff>
    </xdr:to>
    <xdr:pic>
      <xdr:nvPicPr>
        <xdr:cNvPr id="3" name="Picture 3" descr="Figure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170" y="3232440"/>
          <a:ext cx="4395355" cy="2577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152400</xdr:colOff>
      <xdr:row>4</xdr:row>
      <xdr:rowOff>19051</xdr:rowOff>
    </xdr:from>
    <xdr:to>
      <xdr:col>11</xdr:col>
      <xdr:colOff>485776</xdr:colOff>
      <xdr:row>17</xdr:row>
      <xdr:rowOff>0</xdr:rowOff>
    </xdr:to>
    <xdr:pic>
      <xdr:nvPicPr>
        <xdr:cNvPr id="6" name="Picture 5" descr="Figure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28975" y="838201"/>
          <a:ext cx="4400551" cy="230504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33</xdr:row>
          <xdr:rowOff>180975</xdr:rowOff>
        </xdr:from>
        <xdr:to>
          <xdr:col>7</xdr:col>
          <xdr:colOff>114300</xdr:colOff>
          <xdr:row>38</xdr:row>
          <xdr:rowOff>142875</xdr:rowOff>
        </xdr:to>
        <xdr:sp macro="" textlink="">
          <xdr:nvSpPr>
            <xdr:cNvPr id="9223" name="btn_magic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"/>
  <sheetViews>
    <sheetView workbookViewId="0">
      <selection activeCell="D22" sqref="D22"/>
    </sheetView>
  </sheetViews>
  <sheetFormatPr defaultRowHeight="12.75" x14ac:dyDescent="0.2"/>
  <sheetData>
    <row r="1" spans="1:2" x14ac:dyDescent="0.2">
      <c r="A1" s="119" t="s">
        <v>91</v>
      </c>
    </row>
    <row r="2" spans="1:2" x14ac:dyDescent="0.2">
      <c r="A2" s="119" t="s">
        <v>92</v>
      </c>
    </row>
    <row r="3" spans="1:2" x14ac:dyDescent="0.2">
      <c r="A3" s="119" t="s">
        <v>93</v>
      </c>
    </row>
    <row r="4" spans="1:2" x14ac:dyDescent="0.2">
      <c r="A4" s="119" t="s">
        <v>94</v>
      </c>
      <c r="B4" s="119" t="s">
        <v>95</v>
      </c>
    </row>
    <row r="5" spans="1:2" x14ac:dyDescent="0.2">
      <c r="A5" s="119" t="s">
        <v>97</v>
      </c>
      <c r="B5" t="s">
        <v>96</v>
      </c>
    </row>
    <row r="6" spans="1:2" x14ac:dyDescent="0.2">
      <c r="A6" s="119" t="s">
        <v>99</v>
      </c>
      <c r="B6" t="s">
        <v>98</v>
      </c>
    </row>
    <row r="7" spans="1:2" x14ac:dyDescent="0.2">
      <c r="A7" s="119" t="s">
        <v>101</v>
      </c>
      <c r="B7" t="s">
        <v>100</v>
      </c>
    </row>
    <row r="8" spans="1:2" x14ac:dyDescent="0.2">
      <c r="A8" s="119" t="s">
        <v>103</v>
      </c>
      <c r="B8" t="s">
        <v>102</v>
      </c>
    </row>
    <row r="9" spans="1:2" x14ac:dyDescent="0.2">
      <c r="A9" s="119" t="s">
        <v>105</v>
      </c>
      <c r="B9" t="s">
        <v>104</v>
      </c>
    </row>
  </sheetData>
  <sheetProtection algorithmName="SHA-512" hashValue="eQMMVUFBR4ZOMUH20n+6agh1RxBrJiYO5HfUhYeuyHRAx8j7uSBX8DR+FLPsE0vYHzwHSV6KUVsDG/VaTuFs9Q==" saltValue="6hPwX3yudzOUqwhG+79icA==" spinCount="100000" sheet="1" objects="1" scenarios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indexed="13"/>
    <pageSetUpPr fitToPage="1"/>
  </sheetPr>
  <dimension ref="A1:AF66"/>
  <sheetViews>
    <sheetView tabSelected="1" workbookViewId="0">
      <selection activeCell="N23" sqref="N23"/>
    </sheetView>
  </sheetViews>
  <sheetFormatPr defaultRowHeight="12.75" x14ac:dyDescent="0.2"/>
  <cols>
    <col min="1" max="1" width="19.140625" style="1" customWidth="1"/>
    <col min="2" max="2" width="8.5703125" style="1" customWidth="1"/>
    <col min="3" max="3" width="10" style="1" customWidth="1"/>
    <col min="4" max="4" width="8.42578125" style="1" customWidth="1"/>
    <col min="5" max="32" width="8.7109375" style="1" customWidth="1"/>
    <col min="33" max="16384" width="9.140625" style="1"/>
  </cols>
  <sheetData>
    <row r="1" spans="1:30" ht="18" customHeight="1" x14ac:dyDescent="0.2">
      <c r="A1" s="150" t="s">
        <v>0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</row>
    <row r="2" spans="1:30" ht="13.5" customHeight="1" thickBot="1" x14ac:dyDescent="0.25">
      <c r="A2" s="152"/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</row>
    <row r="3" spans="1:30" ht="20.25" x14ac:dyDescent="0.3">
      <c r="A3" s="154" t="s">
        <v>88</v>
      </c>
      <c r="B3" s="155"/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</row>
    <row r="4" spans="1:30" x14ac:dyDescent="0.2">
      <c r="A4" s="2" t="s">
        <v>1</v>
      </c>
      <c r="B4" s="3"/>
      <c r="C4" s="3"/>
      <c r="D4" s="4"/>
      <c r="E4" s="5" t="s">
        <v>2</v>
      </c>
      <c r="F4" s="6"/>
      <c r="G4" s="6"/>
      <c r="H4" s="6"/>
      <c r="I4" s="6"/>
      <c r="J4" s="6"/>
      <c r="K4" s="6"/>
      <c r="L4" s="12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</row>
    <row r="5" spans="1:30" x14ac:dyDescent="0.2">
      <c r="A5" s="7" t="s">
        <v>3</v>
      </c>
      <c r="B5" s="8" t="s">
        <v>4</v>
      </c>
      <c r="C5" s="9">
        <v>7.5</v>
      </c>
      <c r="D5" s="10" t="s">
        <v>5</v>
      </c>
      <c r="E5" s="11"/>
      <c r="F5" s="12"/>
      <c r="G5" s="12"/>
      <c r="H5" s="12"/>
      <c r="I5" s="12"/>
      <c r="J5" s="12"/>
      <c r="K5" s="12"/>
      <c r="L5" s="12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</row>
    <row r="6" spans="1:30" ht="14.25" x14ac:dyDescent="0.25">
      <c r="A6" s="13" t="s">
        <v>6</v>
      </c>
      <c r="B6" s="14" t="s">
        <v>7</v>
      </c>
      <c r="C6" s="15">
        <v>0.8</v>
      </c>
      <c r="D6" s="16" t="s">
        <v>5</v>
      </c>
      <c r="E6" s="11"/>
      <c r="F6" s="12"/>
      <c r="G6" s="12"/>
      <c r="H6" s="12"/>
      <c r="I6" s="12"/>
      <c r="J6" s="12"/>
      <c r="K6" s="12"/>
      <c r="L6" s="12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</row>
    <row r="7" spans="1:30" x14ac:dyDescent="0.2">
      <c r="A7" s="13" t="s">
        <v>8</v>
      </c>
      <c r="B7" s="14" t="s">
        <v>9</v>
      </c>
      <c r="C7" s="75">
        <v>1.8</v>
      </c>
      <c r="D7" s="16" t="s">
        <v>5</v>
      </c>
      <c r="E7" s="11"/>
      <c r="F7" s="12"/>
      <c r="G7" s="12"/>
      <c r="H7" s="12"/>
      <c r="I7" s="12"/>
      <c r="J7" s="12"/>
      <c r="K7" s="12"/>
      <c r="L7" s="12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</row>
    <row r="8" spans="1:30" x14ac:dyDescent="0.2">
      <c r="A8" s="17" t="s">
        <v>10</v>
      </c>
      <c r="B8" s="18" t="s">
        <v>11</v>
      </c>
      <c r="C8" s="19">
        <v>1.05</v>
      </c>
      <c r="D8" s="20"/>
      <c r="E8" s="11"/>
      <c r="F8" s="12"/>
      <c r="G8" s="12"/>
      <c r="H8" s="12"/>
      <c r="I8" s="12"/>
      <c r="J8" s="12"/>
      <c r="K8" s="12"/>
      <c r="L8" s="12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77"/>
      <c r="AD8" s="77"/>
    </row>
    <row r="9" spans="1:30" ht="22.5" customHeight="1" x14ac:dyDescent="0.2">
      <c r="A9" s="21"/>
      <c r="B9" s="22"/>
      <c r="C9" s="12"/>
      <c r="D9" s="23"/>
      <c r="E9" s="11"/>
      <c r="F9" s="12"/>
      <c r="G9" s="12"/>
      <c r="H9" s="12"/>
      <c r="I9" s="12"/>
      <c r="J9" s="12"/>
      <c r="K9" s="12"/>
      <c r="L9" s="12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</row>
    <row r="10" spans="1:30" ht="14.25" x14ac:dyDescent="0.25">
      <c r="A10" s="21" t="s">
        <v>12</v>
      </c>
      <c r="B10" s="24" t="s">
        <v>13</v>
      </c>
      <c r="C10" s="25">
        <f>C7*C8</f>
        <v>1.8900000000000001</v>
      </c>
      <c r="D10" s="23" t="s">
        <v>5</v>
      </c>
      <c r="E10" s="11"/>
      <c r="F10" s="12"/>
      <c r="G10" s="12"/>
      <c r="H10" s="12"/>
      <c r="I10" s="12"/>
      <c r="J10" s="12"/>
      <c r="K10" s="12"/>
      <c r="L10" s="12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</row>
    <row r="11" spans="1:30" ht="14.25" x14ac:dyDescent="0.25">
      <c r="A11" s="21" t="s">
        <v>14</v>
      </c>
      <c r="B11" s="24" t="s">
        <v>15</v>
      </c>
      <c r="C11" s="26">
        <f>(C6/C10)^2</f>
        <v>0.17916631673245428</v>
      </c>
      <c r="D11" s="23"/>
      <c r="E11" s="11"/>
      <c r="F11" s="12"/>
      <c r="G11" s="12"/>
      <c r="H11" s="12"/>
      <c r="I11" s="12"/>
      <c r="J11" s="12"/>
      <c r="K11" s="12"/>
      <c r="L11" s="12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</row>
    <row r="12" spans="1:30" ht="14.25" x14ac:dyDescent="0.25">
      <c r="A12" s="21"/>
      <c r="B12" s="24" t="s">
        <v>16</v>
      </c>
      <c r="C12" s="27">
        <f>C11*100</f>
        <v>17.91663167324543</v>
      </c>
      <c r="D12" s="23" t="s">
        <v>17</v>
      </c>
      <c r="E12" s="11"/>
      <c r="F12" s="12"/>
      <c r="G12" s="12"/>
      <c r="H12" s="12"/>
      <c r="I12" s="12"/>
      <c r="J12" s="12"/>
      <c r="K12" s="12"/>
      <c r="L12" s="12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  <c r="AB12" s="77"/>
      <c r="AC12" s="77"/>
      <c r="AD12" s="77"/>
    </row>
    <row r="13" spans="1:30" ht="14.25" x14ac:dyDescent="0.25">
      <c r="A13" s="28" t="s">
        <v>18</v>
      </c>
      <c r="B13" s="24" t="s">
        <v>19</v>
      </c>
      <c r="C13" s="25">
        <f>C10/C6</f>
        <v>2.3624999999999998</v>
      </c>
      <c r="D13" s="29"/>
      <c r="E13" s="12"/>
      <c r="F13" s="12"/>
      <c r="G13" s="12"/>
      <c r="H13" s="12"/>
      <c r="I13" s="12"/>
      <c r="J13" s="12"/>
      <c r="K13" s="12"/>
      <c r="L13" s="12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</row>
    <row r="14" spans="1:30" x14ac:dyDescent="0.2">
      <c r="A14" s="21"/>
      <c r="B14" s="24"/>
      <c r="C14" s="27"/>
      <c r="D14" s="12"/>
      <c r="E14" s="11"/>
      <c r="F14" s="12"/>
      <c r="G14" s="12"/>
      <c r="H14" s="12"/>
      <c r="I14" s="12"/>
      <c r="J14" s="12"/>
      <c r="K14" s="12"/>
      <c r="L14" s="12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77"/>
    </row>
    <row r="15" spans="1:30" x14ac:dyDescent="0.2">
      <c r="A15" s="30" t="s">
        <v>20</v>
      </c>
      <c r="B15" s="31"/>
      <c r="C15" s="31"/>
      <c r="D15" s="32"/>
      <c r="E15" s="11"/>
      <c r="F15" s="12"/>
      <c r="G15" s="12"/>
      <c r="H15" s="12"/>
      <c r="I15" s="12"/>
      <c r="J15" s="12"/>
      <c r="K15" s="12"/>
      <c r="L15" s="12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/>
      <c r="AA15" s="77"/>
      <c r="AB15" s="77"/>
      <c r="AC15" s="77"/>
      <c r="AD15" s="77"/>
    </row>
    <row r="16" spans="1:30" x14ac:dyDescent="0.2">
      <c r="A16" s="21" t="s">
        <v>21</v>
      </c>
      <c r="B16" s="24" t="s">
        <v>82</v>
      </c>
      <c r="C16" s="75">
        <v>2800</v>
      </c>
      <c r="D16" s="12" t="s">
        <v>22</v>
      </c>
      <c r="E16" s="11"/>
      <c r="F16" s="12"/>
      <c r="G16" s="12"/>
      <c r="H16" s="12"/>
      <c r="I16" s="12"/>
      <c r="J16" s="12"/>
      <c r="K16" s="12"/>
      <c r="L16" s="12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</row>
    <row r="17" spans="1:30" x14ac:dyDescent="0.2">
      <c r="A17" s="21"/>
      <c r="B17" s="24"/>
      <c r="C17" s="24"/>
      <c r="D17" s="12"/>
      <c r="E17" s="11"/>
      <c r="F17" s="12"/>
      <c r="G17" s="12"/>
      <c r="H17" s="12"/>
      <c r="I17" s="12"/>
      <c r="J17" s="12"/>
      <c r="K17" s="12"/>
      <c r="L17" s="12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77"/>
      <c r="AA17" s="77"/>
      <c r="AB17" s="77"/>
      <c r="AC17" s="77"/>
      <c r="AD17" s="77"/>
    </row>
    <row r="18" spans="1:30" x14ac:dyDescent="0.2">
      <c r="A18" s="2" t="s">
        <v>23</v>
      </c>
      <c r="B18" s="3"/>
      <c r="C18" s="3"/>
      <c r="D18" s="4"/>
      <c r="E18" s="11"/>
      <c r="F18" s="12"/>
      <c r="G18" s="12"/>
      <c r="H18" s="12"/>
      <c r="I18" s="12"/>
      <c r="J18" s="12"/>
      <c r="K18" s="12"/>
      <c r="L18" s="12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77"/>
    </row>
    <row r="19" spans="1:30" x14ac:dyDescent="0.2">
      <c r="A19" s="7" t="s">
        <v>24</v>
      </c>
      <c r="B19" s="33" t="s">
        <v>25</v>
      </c>
      <c r="C19" s="78">
        <v>33.5</v>
      </c>
      <c r="D19" s="34" t="s">
        <v>26</v>
      </c>
      <c r="E19" s="11"/>
      <c r="F19" s="12"/>
      <c r="G19" s="12"/>
      <c r="H19" s="12"/>
      <c r="I19" s="12"/>
      <c r="J19" s="12"/>
      <c r="K19" s="12"/>
      <c r="L19" s="12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</row>
    <row r="20" spans="1:30" x14ac:dyDescent="0.2">
      <c r="A20" s="13" t="s">
        <v>27</v>
      </c>
      <c r="B20" s="35" t="s">
        <v>28</v>
      </c>
      <c r="C20" s="95">
        <v>15</v>
      </c>
      <c r="D20" s="36" t="s">
        <v>26</v>
      </c>
      <c r="E20" s="11"/>
      <c r="F20" s="12"/>
      <c r="G20" s="12"/>
      <c r="H20" s="12"/>
      <c r="I20" s="12"/>
      <c r="J20" s="12"/>
      <c r="K20" s="12"/>
      <c r="L20" s="12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</row>
    <row r="21" spans="1:30" ht="15" x14ac:dyDescent="0.25">
      <c r="A21" s="37" t="s">
        <v>29</v>
      </c>
      <c r="B21" s="35" t="s">
        <v>30</v>
      </c>
      <c r="C21" s="91">
        <v>13</v>
      </c>
      <c r="D21" s="38" t="s">
        <v>31</v>
      </c>
      <c r="E21" s="11"/>
      <c r="F21" s="12"/>
      <c r="G21" s="12"/>
      <c r="H21" s="12"/>
      <c r="I21" s="12"/>
      <c r="J21" s="12"/>
      <c r="K21" s="12"/>
      <c r="L21" s="12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7"/>
    </row>
    <row r="22" spans="1:30" x14ac:dyDescent="0.2">
      <c r="A22" s="13" t="s">
        <v>32</v>
      </c>
      <c r="B22" s="14" t="s">
        <v>33</v>
      </c>
      <c r="C22" s="75">
        <v>14000</v>
      </c>
      <c r="D22" s="39" t="s">
        <v>34</v>
      </c>
      <c r="E22" s="11"/>
      <c r="F22" s="12"/>
      <c r="G22" s="12"/>
      <c r="H22" s="12"/>
      <c r="I22" s="12"/>
      <c r="J22" s="12"/>
      <c r="K22" s="12"/>
      <c r="L22" s="12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</row>
    <row r="23" spans="1:30" x14ac:dyDescent="0.2">
      <c r="A23" s="17" t="s">
        <v>35</v>
      </c>
      <c r="B23" s="40" t="s">
        <v>36</v>
      </c>
      <c r="C23" s="92">
        <v>0.2</v>
      </c>
      <c r="D23" s="41" t="s">
        <v>37</v>
      </c>
      <c r="E23" s="11"/>
      <c r="F23" s="12"/>
      <c r="G23" s="12"/>
      <c r="H23" s="12"/>
      <c r="I23" s="12"/>
      <c r="J23" s="12"/>
      <c r="K23" s="12"/>
      <c r="L23" s="12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</row>
    <row r="24" spans="1:30" x14ac:dyDescent="0.2">
      <c r="A24" s="42"/>
      <c r="B24" s="12"/>
      <c r="C24" s="12"/>
      <c r="D24" s="12"/>
      <c r="E24" s="11"/>
      <c r="F24" s="12"/>
      <c r="G24" s="12"/>
      <c r="H24" s="12"/>
      <c r="I24" s="12"/>
      <c r="J24" s="12"/>
      <c r="K24" s="12"/>
      <c r="L24" s="12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</row>
    <row r="25" spans="1:30" ht="14.25" x14ac:dyDescent="0.25">
      <c r="A25" s="21" t="s">
        <v>38</v>
      </c>
      <c r="B25" s="43" t="s">
        <v>39</v>
      </c>
      <c r="C25" s="27">
        <f>ASIN((SIN($C$19*PI()/180)-SIN($C$20*PI()/180))/(1-SIN($C$19*PI()/180)*SIN($C$20*PI()/180)))*180/PI()</f>
        <v>19.996869481957454</v>
      </c>
      <c r="D25" s="44" t="s">
        <v>26</v>
      </c>
      <c r="E25" s="11"/>
      <c r="F25" s="12"/>
      <c r="G25" s="12"/>
      <c r="H25" s="12"/>
      <c r="I25" s="12"/>
      <c r="J25" s="12"/>
      <c r="K25" s="12"/>
      <c r="L25" s="12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</row>
    <row r="26" spans="1:30" ht="14.25" x14ac:dyDescent="0.25">
      <c r="A26" s="21"/>
      <c r="B26" s="24" t="s">
        <v>40</v>
      </c>
      <c r="C26" s="27">
        <f>(TAN(PI()/4+$C$19/2*PI()/180))^2</f>
        <v>3.4636578660546684</v>
      </c>
      <c r="D26" s="12"/>
      <c r="E26" s="11"/>
      <c r="F26" s="12"/>
      <c r="G26" s="12"/>
      <c r="H26" s="12"/>
      <c r="I26" s="12"/>
      <c r="J26" s="12"/>
      <c r="K26" s="12"/>
      <c r="L26" s="12"/>
      <c r="M26" s="77"/>
      <c r="N26" s="77"/>
      <c r="O26" s="77"/>
      <c r="P26" s="77"/>
      <c r="Q26" s="77"/>
      <c r="R26" s="77"/>
      <c r="S26" s="77"/>
      <c r="T26" s="77"/>
      <c r="U26" s="77"/>
      <c r="V26" s="45"/>
      <c r="W26" s="45"/>
      <c r="X26" s="45"/>
      <c r="Y26" s="77"/>
      <c r="Z26" s="77"/>
      <c r="AA26" s="77"/>
      <c r="AB26" s="77"/>
      <c r="AC26" s="77"/>
      <c r="AD26" s="77"/>
    </row>
    <row r="27" spans="1:30" ht="14.25" x14ac:dyDescent="0.25">
      <c r="A27" s="42"/>
      <c r="B27" s="24" t="s">
        <v>41</v>
      </c>
      <c r="C27" s="25">
        <f>(TAN(PI()/4+$C$20/2*PI()/180))^2</f>
        <v>1.6983963724170992</v>
      </c>
      <c r="D27" s="12"/>
      <c r="E27" s="11"/>
      <c r="F27" s="12"/>
      <c r="G27" s="12"/>
      <c r="H27" s="12"/>
      <c r="I27" s="12"/>
      <c r="J27" s="12"/>
      <c r="K27" s="12"/>
      <c r="L27" s="12"/>
      <c r="M27" s="77"/>
      <c r="N27" s="77"/>
      <c r="O27" s="77"/>
      <c r="P27" s="77"/>
      <c r="Q27" s="77"/>
      <c r="R27" s="77"/>
      <c r="S27" s="77"/>
      <c r="T27" s="77"/>
      <c r="U27" s="77"/>
      <c r="V27" s="45"/>
      <c r="W27" s="45"/>
      <c r="X27" s="45"/>
      <c r="Y27" s="77"/>
      <c r="Z27" s="77"/>
      <c r="AA27" s="77"/>
      <c r="AB27" s="77"/>
      <c r="AC27" s="77"/>
      <c r="AD27" s="77"/>
    </row>
    <row r="28" spans="1:30" ht="15" x14ac:dyDescent="0.25">
      <c r="A28" s="42"/>
      <c r="B28" s="43" t="s">
        <v>42</v>
      </c>
      <c r="C28" s="27">
        <f>($C$23*$C$22)/(1-2*$C$23)/(1+$C$23)</f>
        <v>3888.8888888888891</v>
      </c>
      <c r="D28" s="23" t="s">
        <v>34</v>
      </c>
      <c r="E28" s="12"/>
      <c r="F28" s="12"/>
      <c r="G28" s="12"/>
      <c r="H28" s="12"/>
      <c r="I28" s="12"/>
      <c r="J28" s="12"/>
      <c r="K28" s="12"/>
      <c r="L28" s="12"/>
      <c r="M28" s="77"/>
      <c r="N28" s="77"/>
      <c r="O28" s="77"/>
      <c r="P28" s="77"/>
      <c r="Q28" s="77"/>
      <c r="R28" s="77"/>
      <c r="S28" s="77"/>
      <c r="T28" s="77"/>
      <c r="U28" s="77"/>
      <c r="V28" s="46"/>
      <c r="W28" s="45"/>
      <c r="X28" s="46"/>
      <c r="Y28" s="77"/>
      <c r="Z28" s="77"/>
      <c r="AA28" s="77"/>
      <c r="AB28" s="77"/>
      <c r="AC28" s="77"/>
      <c r="AD28" s="77"/>
    </row>
    <row r="29" spans="1:30" x14ac:dyDescent="0.2">
      <c r="A29" s="47" t="s">
        <v>43</v>
      </c>
      <c r="B29" s="24" t="s">
        <v>44</v>
      </c>
      <c r="C29" s="27">
        <f>$C$22/2/(1+$C$23)</f>
        <v>5833.3333333333339</v>
      </c>
      <c r="D29" s="23" t="s">
        <v>34</v>
      </c>
      <c r="E29" s="11"/>
      <c r="F29" s="12"/>
      <c r="G29" s="12"/>
      <c r="H29" s="12"/>
      <c r="I29" s="12"/>
      <c r="J29" s="12"/>
      <c r="K29" s="12"/>
      <c r="L29" s="12"/>
      <c r="M29" s="77"/>
      <c r="N29" s="77"/>
      <c r="O29" s="77"/>
      <c r="P29" s="77"/>
      <c r="Q29" s="77"/>
      <c r="R29" s="77"/>
      <c r="S29" s="77"/>
      <c r="T29" s="77"/>
      <c r="U29" s="77"/>
      <c r="V29" s="45"/>
      <c r="W29" s="48"/>
      <c r="X29" s="45"/>
      <c r="Y29" s="77"/>
      <c r="Z29" s="77"/>
      <c r="AA29" s="77"/>
      <c r="AB29" s="77"/>
      <c r="AC29" s="77"/>
      <c r="AD29" s="77"/>
    </row>
    <row r="30" spans="1:30" x14ac:dyDescent="0.2">
      <c r="A30" s="49" t="s">
        <v>45</v>
      </c>
      <c r="B30" s="24" t="s">
        <v>46</v>
      </c>
      <c r="C30" s="27">
        <f>$C$22/(2+$C$26*$C$27-2*$C$23*(1+$C$26+$C$27))</f>
        <v>2584.0545606806463</v>
      </c>
      <c r="D30" s="12"/>
      <c r="E30" s="11"/>
      <c r="F30" s="12"/>
      <c r="G30" s="12"/>
      <c r="H30" s="12"/>
      <c r="I30" s="12"/>
      <c r="J30" s="12"/>
      <c r="K30" s="12"/>
      <c r="L30" s="12"/>
      <c r="M30" s="77"/>
      <c r="N30" s="77"/>
      <c r="O30" s="77"/>
      <c r="P30" s="77"/>
      <c r="Q30" s="77"/>
      <c r="R30" s="77"/>
      <c r="S30" s="77"/>
      <c r="T30" s="77"/>
      <c r="U30" s="77"/>
      <c r="V30" s="45"/>
      <c r="W30" s="45"/>
      <c r="X30" s="45"/>
      <c r="Y30" s="77"/>
      <c r="Z30" s="77"/>
      <c r="AA30" s="77"/>
      <c r="AB30" s="77"/>
      <c r="AC30" s="77"/>
      <c r="AD30" s="77"/>
    </row>
    <row r="31" spans="1:30" x14ac:dyDescent="0.2">
      <c r="A31" s="42"/>
      <c r="B31" s="12"/>
      <c r="C31" s="12"/>
      <c r="D31" s="12"/>
      <c r="E31" s="11"/>
      <c r="F31" s="12"/>
      <c r="G31" s="12"/>
      <c r="H31" s="12"/>
      <c r="I31" s="12"/>
      <c r="J31" s="12"/>
      <c r="K31" s="12"/>
      <c r="L31" s="12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</row>
    <row r="32" spans="1:30" ht="14.25" x14ac:dyDescent="0.25">
      <c r="A32" s="114" t="s">
        <v>47</v>
      </c>
      <c r="B32" s="115" t="s">
        <v>90</v>
      </c>
      <c r="C32" s="116">
        <v>100</v>
      </c>
      <c r="D32" s="117" t="s">
        <v>34</v>
      </c>
      <c r="E32" s="12"/>
      <c r="F32" s="12"/>
      <c r="G32" s="12"/>
      <c r="H32" s="12"/>
      <c r="I32" s="12"/>
      <c r="J32" s="12"/>
      <c r="K32" s="12"/>
      <c r="L32" s="12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</row>
    <row r="33" spans="1:32" ht="13.5" thickBot="1" x14ac:dyDescent="0.25">
      <c r="A33" s="12"/>
      <c r="B33" s="12"/>
      <c r="C33" s="12"/>
      <c r="D33" s="118"/>
      <c r="E33" s="12"/>
      <c r="F33" s="50"/>
      <c r="G33" s="50"/>
      <c r="H33" s="50"/>
      <c r="I33" s="50"/>
      <c r="J33" s="50"/>
      <c r="K33" s="50"/>
      <c r="L33" s="50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</row>
    <row r="34" spans="1:32" ht="15.75" thickBot="1" x14ac:dyDescent="0.25">
      <c r="A34" s="113" t="s">
        <v>89</v>
      </c>
      <c r="B34" s="111"/>
      <c r="C34" s="111"/>
      <c r="D34" s="112"/>
      <c r="E34" s="66"/>
      <c r="F34" s="51"/>
      <c r="G34" s="51"/>
      <c r="H34" s="51"/>
      <c r="I34" s="51"/>
      <c r="J34" s="51"/>
      <c r="K34" s="51"/>
      <c r="L34" s="51"/>
      <c r="M34" s="77"/>
      <c r="N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</row>
    <row r="35" spans="1:32" x14ac:dyDescent="0.2">
      <c r="A35" s="110"/>
      <c r="B35" s="52"/>
      <c r="C35" s="52"/>
      <c r="D35" s="52"/>
      <c r="E35" s="51"/>
      <c r="F35" s="51"/>
      <c r="G35" s="51"/>
      <c r="H35" s="51"/>
      <c r="I35" s="51"/>
      <c r="J35" s="51"/>
      <c r="K35" s="51"/>
      <c r="L35" s="51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</row>
    <row r="36" spans="1:32" ht="14.25" x14ac:dyDescent="0.25">
      <c r="A36" s="53" t="s">
        <v>48</v>
      </c>
      <c r="B36" s="51"/>
      <c r="C36" s="54" t="s">
        <v>49</v>
      </c>
      <c r="D36" s="96">
        <f>SUM(AE44:AE64)</f>
        <v>0.25469840925467929</v>
      </c>
      <c r="E36" s="52" t="s">
        <v>5</v>
      </c>
      <c r="F36" s="76"/>
      <c r="G36" s="51"/>
      <c r="H36" s="51"/>
      <c r="I36" s="51"/>
      <c r="J36" s="51"/>
      <c r="K36" s="51"/>
      <c r="L36" s="51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</row>
    <row r="37" spans="1:32" x14ac:dyDescent="0.2">
      <c r="A37" s="53"/>
      <c r="B37" s="51"/>
      <c r="C37" s="54"/>
      <c r="D37" s="55"/>
      <c r="E37" s="52"/>
      <c r="F37" s="51"/>
      <c r="G37" s="51"/>
      <c r="H37" s="51"/>
      <c r="I37" s="51"/>
      <c r="J37" s="51"/>
      <c r="K37" s="51"/>
      <c r="L37" s="51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</row>
    <row r="38" spans="1:32" ht="14.25" x14ac:dyDescent="0.25">
      <c r="A38" s="53" t="s">
        <v>50</v>
      </c>
      <c r="B38" s="51"/>
      <c r="C38" s="54" t="s">
        <v>51</v>
      </c>
      <c r="D38" s="55">
        <f>SUM(AF44:AF64)</f>
        <v>0.61373424083823103</v>
      </c>
      <c r="E38" s="52" t="s">
        <v>5</v>
      </c>
      <c r="F38" s="51"/>
      <c r="G38" s="51"/>
      <c r="H38" s="51"/>
      <c r="I38" s="51"/>
      <c r="J38" s="51"/>
      <c r="K38" s="51"/>
      <c r="L38" s="51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</row>
    <row r="39" spans="1:32" x14ac:dyDescent="0.2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1"/>
      <c r="L39" s="51"/>
      <c r="M39" s="128"/>
      <c r="N39" s="128"/>
      <c r="O39" s="128"/>
      <c r="P39" s="128"/>
      <c r="Q39" s="128"/>
      <c r="R39" s="128"/>
      <c r="S39" s="128"/>
      <c r="T39" s="128"/>
      <c r="U39" s="128"/>
      <c r="V39" s="128"/>
      <c r="W39" s="128"/>
      <c r="X39" s="128"/>
      <c r="Y39" s="128"/>
      <c r="Z39" s="128"/>
      <c r="AA39" s="128"/>
      <c r="AB39" s="128"/>
      <c r="AC39" s="128"/>
      <c r="AD39" s="128"/>
      <c r="AE39" s="128"/>
      <c r="AF39" s="128"/>
    </row>
    <row r="40" spans="1:32" ht="13.5" thickBot="1" x14ac:dyDescent="0.25">
      <c r="A40" s="56"/>
      <c r="B40" s="56"/>
      <c r="C40" s="56"/>
      <c r="D40" s="56"/>
      <c r="E40" s="56"/>
      <c r="F40" s="56"/>
      <c r="G40" s="56"/>
      <c r="H40" s="56"/>
      <c r="I40" s="56"/>
      <c r="J40" s="56"/>
      <c r="K40" s="133"/>
      <c r="L40" s="133"/>
      <c r="M40" s="134"/>
      <c r="N40" s="134"/>
      <c r="O40" s="134"/>
      <c r="P40" s="134"/>
      <c r="Q40" s="134"/>
      <c r="R40" s="134"/>
      <c r="S40" s="134"/>
      <c r="T40" s="134"/>
      <c r="U40" s="134"/>
      <c r="V40" s="134"/>
      <c r="W40" s="134"/>
      <c r="X40" s="134"/>
      <c r="Y40" s="134"/>
      <c r="Z40" s="134"/>
      <c r="AA40" s="134"/>
      <c r="AB40" s="134"/>
      <c r="AC40" s="134"/>
      <c r="AD40" s="134"/>
      <c r="AE40" s="134"/>
      <c r="AF40" s="134"/>
    </row>
    <row r="41" spans="1:32" ht="18" thickBot="1" x14ac:dyDescent="0.35">
      <c r="A41" s="57" t="s">
        <v>52</v>
      </c>
      <c r="B41" s="58" t="s">
        <v>53</v>
      </c>
      <c r="C41" s="59" t="s">
        <v>54</v>
      </c>
      <c r="D41" s="93" t="s">
        <v>55</v>
      </c>
      <c r="E41" s="60" t="s">
        <v>56</v>
      </c>
      <c r="F41" s="61" t="s">
        <v>81</v>
      </c>
      <c r="G41" s="61" t="s">
        <v>57</v>
      </c>
      <c r="H41" s="97" t="s">
        <v>85</v>
      </c>
      <c r="I41" s="97" t="s">
        <v>86</v>
      </c>
      <c r="J41" s="97" t="s">
        <v>87</v>
      </c>
      <c r="K41" s="145" t="s">
        <v>58</v>
      </c>
      <c r="L41" s="146" t="s">
        <v>59</v>
      </c>
      <c r="M41" s="145" t="s">
        <v>60</v>
      </c>
      <c r="N41" s="145" t="s">
        <v>61</v>
      </c>
      <c r="O41" s="145" t="s">
        <v>62</v>
      </c>
      <c r="P41" s="145" t="s">
        <v>63</v>
      </c>
      <c r="Q41" s="145" t="s">
        <v>64</v>
      </c>
      <c r="R41" s="145" t="s">
        <v>65</v>
      </c>
      <c r="S41" s="147" t="s">
        <v>66</v>
      </c>
      <c r="T41" s="147" t="s">
        <v>67</v>
      </c>
      <c r="U41" s="148" t="s">
        <v>68</v>
      </c>
      <c r="V41" s="147" t="s">
        <v>69</v>
      </c>
      <c r="W41" s="147" t="s">
        <v>70</v>
      </c>
      <c r="X41" s="147" t="s">
        <v>71</v>
      </c>
      <c r="Y41" s="147" t="s">
        <v>72</v>
      </c>
      <c r="Z41" s="147" t="s">
        <v>73</v>
      </c>
      <c r="AA41" s="147" t="s">
        <v>74</v>
      </c>
      <c r="AB41" s="147" t="s">
        <v>75</v>
      </c>
      <c r="AC41" s="147" t="s">
        <v>76</v>
      </c>
      <c r="AD41" s="147" t="s">
        <v>77</v>
      </c>
      <c r="AE41" s="149" t="s">
        <v>83</v>
      </c>
      <c r="AF41" s="149" t="s">
        <v>84</v>
      </c>
    </row>
    <row r="42" spans="1:32" ht="14.25" x14ac:dyDescent="0.2">
      <c r="A42" s="62" t="s">
        <v>78</v>
      </c>
      <c r="B42" s="63" t="s">
        <v>79</v>
      </c>
      <c r="C42" s="64" t="s">
        <v>34</v>
      </c>
      <c r="D42" s="94"/>
      <c r="E42" s="65" t="s">
        <v>80</v>
      </c>
      <c r="F42" s="66"/>
      <c r="G42" s="67" t="s">
        <v>34</v>
      </c>
      <c r="H42" s="98" t="s">
        <v>34</v>
      </c>
      <c r="I42" s="98" t="s">
        <v>34</v>
      </c>
      <c r="J42" s="98"/>
      <c r="K42" s="129" t="s">
        <v>34</v>
      </c>
      <c r="L42" s="130"/>
      <c r="M42" s="130"/>
      <c r="N42" s="130"/>
      <c r="O42" s="130"/>
      <c r="P42" s="131"/>
      <c r="Q42" s="131"/>
      <c r="R42" s="131"/>
      <c r="S42" s="132" t="s">
        <v>34</v>
      </c>
      <c r="T42" s="132" t="s">
        <v>34</v>
      </c>
      <c r="U42" s="132"/>
      <c r="V42" s="132"/>
      <c r="W42" s="132"/>
      <c r="X42" s="132" t="s">
        <v>34</v>
      </c>
      <c r="Y42" s="132" t="s">
        <v>34</v>
      </c>
      <c r="Z42" s="132" t="s">
        <v>34</v>
      </c>
      <c r="AA42" s="132" t="s">
        <v>34</v>
      </c>
      <c r="AB42" s="132"/>
      <c r="AC42" s="132" t="s">
        <v>34</v>
      </c>
      <c r="AD42" s="132" t="s">
        <v>34</v>
      </c>
      <c r="AE42" s="132" t="s">
        <v>5</v>
      </c>
      <c r="AF42" s="132" t="s">
        <v>5</v>
      </c>
    </row>
    <row r="43" spans="1:32" ht="14.25" x14ac:dyDescent="0.2">
      <c r="A43" s="68">
        <v>0</v>
      </c>
      <c r="B43" s="69" t="str">
        <f t="shared" ref="B43:B64" si="0">IF(AB43=0, "elastic", "plastic")</f>
        <v>plastic</v>
      </c>
      <c r="C43" s="105">
        <f>(1+D43)*(1-2*D43)*G43/(1-D43)</f>
        <v>597.75333333333322</v>
      </c>
      <c r="D43" s="70">
        <v>0.4</v>
      </c>
      <c r="E43" s="70">
        <v>6</v>
      </c>
      <c r="F43" s="71">
        <v>0.6</v>
      </c>
      <c r="G43" s="90">
        <v>1280.9000000000001</v>
      </c>
      <c r="H43" s="99">
        <f t="shared" ref="H43:H64" si="1">S43+AC43</f>
        <v>346.90289264619327</v>
      </c>
      <c r="I43" s="99">
        <f t="shared" ref="I43:I64" si="2">T43+AD43</f>
        <v>100.15506902283576</v>
      </c>
      <c r="J43" s="102">
        <f t="shared" ref="J43:J64" si="3">(1-AB43)*V43+AB43*W43</f>
        <v>3.3385330696971069E-2</v>
      </c>
      <c r="K43" s="121">
        <f t="shared" ref="K43:K64" si="4">C43/(2*(1+D43))</f>
        <v>213.48333333333329</v>
      </c>
      <c r="L43" s="121">
        <f t="shared" ref="L43:L64" si="5">C43*D43/((1-2*D43)*(1+D43))</f>
        <v>853.93333333333339</v>
      </c>
      <c r="M43" s="121">
        <f t="shared" ref="M43:M64" si="6">D43/(1-D43)</f>
        <v>0.66666666666666674</v>
      </c>
      <c r="N43" s="121">
        <f>2*M43*$C$11/(1-$C$11)</f>
        <v>0.29103145640780781</v>
      </c>
      <c r="O43" s="121">
        <f t="shared" ref="O43:O64" si="7">(1-2*D43+$C$11)/(1-$C$11)/(1-D43)</f>
        <v>0.76988051794504508</v>
      </c>
      <c r="P43" s="122">
        <f>O43-M43*N43</f>
        <v>0.57585954700650654</v>
      </c>
      <c r="Q43" s="123">
        <f t="shared" ref="Q43:Q64" si="8">(G43*(1-$C$11)*(P43+R43)+$C$30*((1-$C$11)*(N43*$C$27+2)+$C$11*$C$26*($C$27*(O43+R43)+2*M43)))</f>
        <v>30760.624828712502</v>
      </c>
      <c r="R43" s="122">
        <f t="shared" ref="R43:R64" si="9">$C$16/(G43*$C$6/2)</f>
        <v>5.4649074869232566</v>
      </c>
      <c r="S43" s="120">
        <f t="shared" ref="S43:S49" si="10">$C$21*A43</f>
        <v>0</v>
      </c>
      <c r="T43" s="120">
        <f>E43*F43*A43</f>
        <v>0</v>
      </c>
      <c r="U43" s="122">
        <f>(($C$28-L43)*(1-$C$11))/(2*($C$11*(L43+K43-$C$28-$C$29)+$C$28+$C$29+K43)+(1-$C$11)*(2*K43+L43)*R43)</f>
        <v>0.11064130137777173</v>
      </c>
      <c r="V43" s="124">
        <f>$C$32/(($C$28+2*$C$29)*$C$11+(L43+2*K43)*(1-$C$11)-2*$C$11*($C$28-L43)*U43)</f>
        <v>2.6895367441138251E-2</v>
      </c>
      <c r="W43" s="124">
        <f t="shared" ref="W43:W64" si="11">1/(Q43*G43)*(2*$C$30+G43*(O43+R43))*$C$32</f>
        <v>3.3385330696971069E-2</v>
      </c>
      <c r="X43" s="122">
        <f>($C$28+2*$C$29-2*$C$28*U43)*V43</f>
        <v>395.22774999209923</v>
      </c>
      <c r="Y43" s="122">
        <f>($C$28-2*($C$28+$C$29)*U43)*V43</f>
        <v>46.731514540409293</v>
      </c>
      <c r="Z43" s="122">
        <f>$C$30/Q43*($C$26*(2*M43+$C$27*(O43+R43)))*$C$32</f>
        <v>346.90289264619327</v>
      </c>
      <c r="AA43" s="122">
        <f>$C$30/Q43*(2*M43+$C$27*(O43+R43))*$C$32</f>
        <v>100.15506902283573</v>
      </c>
      <c r="AB43" s="122">
        <f>IF(((X43+S43)/(Y43+T43))&lt;=$C$26,0,(T43*$C$26+Y43*$C$26-X43-S43)/($C$26*Y43-$C$26*AA43-X43+Z43))</f>
        <v>1.0000000000000004</v>
      </c>
      <c r="AC43" s="122">
        <f>(1-AB43)*X43+AB43*Z43</f>
        <v>346.90289264619327</v>
      </c>
      <c r="AD43" s="122">
        <f>(1-AB43)*Y43+AB43*AA43</f>
        <v>100.15506902283576</v>
      </c>
      <c r="AE43" s="124"/>
      <c r="AF43" s="124"/>
    </row>
    <row r="44" spans="1:32" ht="14.25" x14ac:dyDescent="0.2">
      <c r="A44" s="68">
        <v>0.5</v>
      </c>
      <c r="B44" s="69" t="str">
        <f t="shared" si="0"/>
        <v>plastic</v>
      </c>
      <c r="C44" s="105">
        <f t="shared" ref="C44:C61" si="12">(1+D44)*(1-2*D44)*G44/(1-D44)</f>
        <v>597.75333333333322</v>
      </c>
      <c r="D44" s="70">
        <v>0.4</v>
      </c>
      <c r="E44" s="70">
        <v>6</v>
      </c>
      <c r="F44" s="71">
        <v>0.6</v>
      </c>
      <c r="G44" s="90">
        <v>1280.9000000000001</v>
      </c>
      <c r="H44" s="99">
        <f t="shared" si="1"/>
        <v>353.34793093289107</v>
      </c>
      <c r="I44" s="99">
        <f t="shared" si="2"/>
        <v>102.01582967990353</v>
      </c>
      <c r="J44" s="102">
        <f t="shared" si="3"/>
        <v>3.3392711981043058E-2</v>
      </c>
      <c r="K44" s="121">
        <f t="shared" si="4"/>
        <v>213.48333333333329</v>
      </c>
      <c r="L44" s="121">
        <f t="shared" si="5"/>
        <v>853.93333333333339</v>
      </c>
      <c r="M44" s="121">
        <f t="shared" si="6"/>
        <v>0.66666666666666674</v>
      </c>
      <c r="N44" s="121">
        <f t="shared" ref="N44:N61" si="13">2*M44*$C$11/(1-$C$11)</f>
        <v>0.29103145640780781</v>
      </c>
      <c r="O44" s="121">
        <f t="shared" si="7"/>
        <v>0.76988051794504508</v>
      </c>
      <c r="P44" s="122">
        <f t="shared" ref="P44:P61" si="14">O44-M44*N44</f>
        <v>0.57585954700650654</v>
      </c>
      <c r="Q44" s="123">
        <f t="shared" si="8"/>
        <v>30760.624828712502</v>
      </c>
      <c r="R44" s="122">
        <f t="shared" si="9"/>
        <v>5.4649074869232566</v>
      </c>
      <c r="S44" s="120">
        <f t="shared" si="10"/>
        <v>6.5</v>
      </c>
      <c r="T44" s="120">
        <f t="shared" ref="T44:T64" si="15">T43+(A44-A43)*E44*F44</f>
        <v>1.7999999999999998</v>
      </c>
      <c r="U44" s="122">
        <f t="shared" ref="U44:U61" si="16">(($C$28-L44)*(1-$C$11))/(2*($C$11*(L44+K44-$C$28-$C$29)+$C$28+$C$29+K44)+(1-$C$11)*(2*K44+L44)*R44)</f>
        <v>0.11064130137777173</v>
      </c>
      <c r="V44" s="124">
        <f t="shared" ref="V44:V61" si="17">$C$32/(($C$28+2*$C$29)*$C$11+(L44+2*K44)*(1-$C$11)-2*$C$11*($C$28-L44)*U44)</f>
        <v>2.6895367441138251E-2</v>
      </c>
      <c r="W44" s="124">
        <f t="shared" si="11"/>
        <v>3.3385330696971069E-2</v>
      </c>
      <c r="X44" s="122">
        <f t="shared" ref="X44:X61" si="18">($C$28+2*$C$29-2*$C$28*U44)*V44</f>
        <v>395.22774999209923</v>
      </c>
      <c r="Y44" s="122">
        <f t="shared" ref="Y44:Y61" si="19">($C$28-2*($C$28+$C$29)*U44)*V44</f>
        <v>46.731514540409293</v>
      </c>
      <c r="Z44" s="122">
        <f t="shared" ref="Z44:Z61" si="20">$C$30/Q44*($C$26*(2*M44+$C$27*(O44+R44)))*$C$32</f>
        <v>346.90289264619327</v>
      </c>
      <c r="AA44" s="122">
        <f t="shared" ref="AA44:AA61" si="21">$C$30/Q44*(2*M44+$C$27*(O44+R44))*$C$32</f>
        <v>100.15506902283573</v>
      </c>
      <c r="AB44" s="122">
        <f t="shared" ref="AB44:AB61" si="22">IF(((X44+S44)/(Y44+T44))&lt;=$C$26,0,(T44*$C$26+Y44*$C$26-X44-S44)/($C$26*Y44-$C$26*AA44-X44+Z44))</f>
        <v>1.001137338345538</v>
      </c>
      <c r="AC44" s="122">
        <f t="shared" ref="AC44:AC61" si="23">(1-AB44)*X44+AB44*Z44</f>
        <v>346.84793093289107</v>
      </c>
      <c r="AD44" s="122">
        <f t="shared" ref="AD44:AD61" si="24">(1-AB44)*Y44+AB44*AA44</f>
        <v>100.21582967990354</v>
      </c>
      <c r="AE44" s="124">
        <f t="shared" ref="AE44:AE64" si="25">(J43+J44)/2*(A44-A43)</f>
        <v>1.6694510669503532E-2</v>
      </c>
      <c r="AF44" s="124">
        <f>$C$32*(A44-A43)/((G44+G43)/2)</f>
        <v>3.903505347802326E-2</v>
      </c>
    </row>
    <row r="45" spans="1:32" ht="14.25" x14ac:dyDescent="0.2">
      <c r="A45" s="68">
        <v>1</v>
      </c>
      <c r="B45" s="69" t="str">
        <f t="shared" si="0"/>
        <v>plastic</v>
      </c>
      <c r="C45" s="105">
        <f t="shared" si="12"/>
        <v>597.75333333333322</v>
      </c>
      <c r="D45" s="70">
        <v>0.4</v>
      </c>
      <c r="E45" s="70">
        <v>6</v>
      </c>
      <c r="F45" s="71">
        <v>0.6</v>
      </c>
      <c r="G45" s="90">
        <v>1280.9000000000001</v>
      </c>
      <c r="H45" s="99">
        <f t="shared" si="1"/>
        <v>359.792969219589</v>
      </c>
      <c r="I45" s="99">
        <f t="shared" si="2"/>
        <v>103.8765903369713</v>
      </c>
      <c r="J45" s="102">
        <f t="shared" si="3"/>
        <v>3.3400093265115047E-2</v>
      </c>
      <c r="K45" s="121">
        <f t="shared" si="4"/>
        <v>213.48333333333329</v>
      </c>
      <c r="L45" s="121">
        <f t="shared" si="5"/>
        <v>853.93333333333339</v>
      </c>
      <c r="M45" s="121">
        <f t="shared" si="6"/>
        <v>0.66666666666666674</v>
      </c>
      <c r="N45" s="121">
        <f t="shared" si="13"/>
        <v>0.29103145640780781</v>
      </c>
      <c r="O45" s="121">
        <f t="shared" si="7"/>
        <v>0.76988051794504508</v>
      </c>
      <c r="P45" s="122">
        <f t="shared" si="14"/>
        <v>0.57585954700650654</v>
      </c>
      <c r="Q45" s="123">
        <f t="shared" si="8"/>
        <v>30760.624828712502</v>
      </c>
      <c r="R45" s="122">
        <f t="shared" si="9"/>
        <v>5.4649074869232566</v>
      </c>
      <c r="S45" s="120">
        <f t="shared" si="10"/>
        <v>13</v>
      </c>
      <c r="T45" s="120">
        <f t="shared" si="15"/>
        <v>3.5999999999999996</v>
      </c>
      <c r="U45" s="122">
        <f t="shared" si="16"/>
        <v>0.11064130137777173</v>
      </c>
      <c r="V45" s="124">
        <f t="shared" si="17"/>
        <v>2.6895367441138251E-2</v>
      </c>
      <c r="W45" s="124">
        <f t="shared" si="11"/>
        <v>3.3385330696971069E-2</v>
      </c>
      <c r="X45" s="122">
        <f t="shared" si="18"/>
        <v>395.22774999209923</v>
      </c>
      <c r="Y45" s="122">
        <f t="shared" si="19"/>
        <v>46.731514540409293</v>
      </c>
      <c r="Z45" s="122">
        <f t="shared" si="20"/>
        <v>346.90289264619327</v>
      </c>
      <c r="AA45" s="122">
        <f t="shared" si="21"/>
        <v>100.15506902283573</v>
      </c>
      <c r="AB45" s="122">
        <f t="shared" si="22"/>
        <v>1.0022746766910755</v>
      </c>
      <c r="AC45" s="122">
        <f t="shared" si="23"/>
        <v>346.792969219589</v>
      </c>
      <c r="AD45" s="122">
        <f t="shared" si="24"/>
        <v>100.27659033697131</v>
      </c>
      <c r="AE45" s="124">
        <f t="shared" si="25"/>
        <v>1.6698201311539526E-2</v>
      </c>
      <c r="AF45" s="124">
        <f t="shared" ref="AF45" si="26">$C$32*(A45-A44)/((G45+G44)/2)</f>
        <v>3.903505347802326E-2</v>
      </c>
    </row>
    <row r="46" spans="1:32" ht="14.25" x14ac:dyDescent="0.2">
      <c r="A46" s="68">
        <v>1.375</v>
      </c>
      <c r="B46" s="69" t="str">
        <f t="shared" si="0"/>
        <v>plastic</v>
      </c>
      <c r="C46" s="105">
        <f t="shared" ref="C46" si="27">(1+D46)*(1-2*D46)*G46/(1-D46)</f>
        <v>597.75333333333322</v>
      </c>
      <c r="D46" s="70">
        <v>0.4</v>
      </c>
      <c r="E46" s="70">
        <v>6</v>
      </c>
      <c r="F46" s="71">
        <v>0.6</v>
      </c>
      <c r="G46" s="90">
        <v>1280.9000000000001</v>
      </c>
      <c r="H46" s="99">
        <f t="shared" si="1"/>
        <v>364.62674793461241</v>
      </c>
      <c r="I46" s="99">
        <f t="shared" si="2"/>
        <v>105.27216082977215</v>
      </c>
      <c r="J46" s="102">
        <f t="shared" si="3"/>
        <v>3.3405629228169038E-2</v>
      </c>
      <c r="K46" s="121">
        <f t="shared" si="4"/>
        <v>213.48333333333329</v>
      </c>
      <c r="L46" s="121">
        <f t="shared" si="5"/>
        <v>853.93333333333339</v>
      </c>
      <c r="M46" s="121">
        <f t="shared" si="6"/>
        <v>0.66666666666666674</v>
      </c>
      <c r="N46" s="121">
        <f t="shared" ref="N46" si="28">2*M46*$C$11/(1-$C$11)</f>
        <v>0.29103145640780781</v>
      </c>
      <c r="O46" s="121">
        <f t="shared" si="7"/>
        <v>0.76988051794504508</v>
      </c>
      <c r="P46" s="122">
        <f t="shared" ref="P46" si="29">O46-M46*N46</f>
        <v>0.57585954700650654</v>
      </c>
      <c r="Q46" s="123">
        <f t="shared" si="8"/>
        <v>30760.624828712502</v>
      </c>
      <c r="R46" s="122">
        <f t="shared" si="9"/>
        <v>5.4649074869232566</v>
      </c>
      <c r="S46" s="120">
        <f t="shared" si="10"/>
        <v>17.875</v>
      </c>
      <c r="T46" s="120">
        <f t="shared" si="15"/>
        <v>4.9499999999999993</v>
      </c>
      <c r="U46" s="122">
        <f t="shared" ref="U46" si="30">(($C$28-L46)*(1-$C$11))/(2*($C$11*(L46+K46-$C$28-$C$29)+$C$28+$C$29+K46)+(1-$C$11)*(2*K46+L46)*R46)</f>
        <v>0.11064130137777173</v>
      </c>
      <c r="V46" s="124">
        <f t="shared" ref="V46" si="31">$C$32/(($C$28+2*$C$29)*$C$11+(L46+2*K46)*(1-$C$11)-2*$C$11*($C$28-L46)*U46)</f>
        <v>2.6895367441138251E-2</v>
      </c>
      <c r="W46" s="124">
        <f t="shared" si="11"/>
        <v>3.3385330696971069E-2</v>
      </c>
      <c r="X46" s="122">
        <f t="shared" ref="X46" si="32">($C$28+2*$C$29-2*$C$28*U46)*V46</f>
        <v>395.22774999209923</v>
      </c>
      <c r="Y46" s="122">
        <f t="shared" ref="Y46" si="33">($C$28-2*($C$28+$C$29)*U46)*V46</f>
        <v>46.731514540409293</v>
      </c>
      <c r="Z46" s="122">
        <f t="shared" ref="Z46" si="34">$C$30/Q46*($C$26*(2*M46+$C$27*(O46+R46)))*$C$32</f>
        <v>346.90289264619327</v>
      </c>
      <c r="AA46" s="122">
        <f t="shared" ref="AA46" si="35">$C$30/Q46*(2*M46+$C$27*(O46+R46))*$C$32</f>
        <v>100.15506902283573</v>
      </c>
      <c r="AB46" s="122">
        <f t="shared" ref="AB46" si="36">IF(((X46+S46)/(Y46+T46))&lt;=$C$26,0,(T46*$C$26+Y46*$C$26-X46-S46)/($C$26*Y46-$C$26*AA46-X46+Z46))</f>
        <v>1.0031276804502287</v>
      </c>
      <c r="AC46" s="122">
        <f t="shared" ref="AC46" si="37">(1-AB46)*X46+AB46*Z46</f>
        <v>346.75174793461241</v>
      </c>
      <c r="AD46" s="122">
        <f t="shared" ref="AD46" si="38">(1-AB46)*Y46+AB46*AA46</f>
        <v>100.32216082977214</v>
      </c>
      <c r="AE46" s="124">
        <f t="shared" si="25"/>
        <v>1.2526072967490767E-2</v>
      </c>
      <c r="AF46" s="124">
        <f t="shared" ref="AF46:AF64" si="39">$C$32*(A46-A45)/((G46+G45)/2)</f>
        <v>2.9276290108517445E-2</v>
      </c>
    </row>
    <row r="47" spans="1:32" ht="14.25" x14ac:dyDescent="0.2">
      <c r="A47" s="68">
        <v>1.5</v>
      </c>
      <c r="B47" s="69" t="str">
        <f t="shared" si="0"/>
        <v>plastic</v>
      </c>
      <c r="C47" s="105">
        <f t="shared" si="12"/>
        <v>597.75333333333322</v>
      </c>
      <c r="D47" s="70">
        <v>0.4</v>
      </c>
      <c r="E47" s="70">
        <v>6</v>
      </c>
      <c r="F47" s="71">
        <v>0.6</v>
      </c>
      <c r="G47" s="90">
        <v>1280.9000000000001</v>
      </c>
      <c r="H47" s="99">
        <f t="shared" si="1"/>
        <v>366.23800750628686</v>
      </c>
      <c r="I47" s="99">
        <f t="shared" si="2"/>
        <v>105.7373509940391</v>
      </c>
      <c r="J47" s="102">
        <f t="shared" si="3"/>
        <v>3.3407474549187036E-2</v>
      </c>
      <c r="K47" s="121">
        <f t="shared" si="4"/>
        <v>213.48333333333329</v>
      </c>
      <c r="L47" s="121">
        <f t="shared" si="5"/>
        <v>853.93333333333339</v>
      </c>
      <c r="M47" s="121">
        <f t="shared" si="6"/>
        <v>0.66666666666666674</v>
      </c>
      <c r="N47" s="121">
        <f t="shared" si="13"/>
        <v>0.29103145640780781</v>
      </c>
      <c r="O47" s="121">
        <f t="shared" si="7"/>
        <v>0.76988051794504508</v>
      </c>
      <c r="P47" s="122">
        <f t="shared" si="14"/>
        <v>0.57585954700650654</v>
      </c>
      <c r="Q47" s="123">
        <f t="shared" si="8"/>
        <v>30760.624828712502</v>
      </c>
      <c r="R47" s="122">
        <f t="shared" si="9"/>
        <v>5.4649074869232566</v>
      </c>
      <c r="S47" s="120">
        <f t="shared" si="10"/>
        <v>19.5</v>
      </c>
      <c r="T47" s="120">
        <f t="shared" si="15"/>
        <v>5.3999999999999995</v>
      </c>
      <c r="U47" s="122">
        <f t="shared" si="16"/>
        <v>0.11064130137777173</v>
      </c>
      <c r="V47" s="124">
        <f t="shared" si="17"/>
        <v>2.6895367441138251E-2</v>
      </c>
      <c r="W47" s="124">
        <f t="shared" si="11"/>
        <v>3.3385330696971069E-2</v>
      </c>
      <c r="X47" s="122">
        <f t="shared" si="18"/>
        <v>395.22774999209923</v>
      </c>
      <c r="Y47" s="122">
        <f t="shared" si="19"/>
        <v>46.731514540409293</v>
      </c>
      <c r="Z47" s="122">
        <f t="shared" si="20"/>
        <v>346.90289264619327</v>
      </c>
      <c r="AA47" s="122">
        <f t="shared" si="21"/>
        <v>100.15506902283573</v>
      </c>
      <c r="AB47" s="122">
        <f t="shared" si="22"/>
        <v>1.003412015036613</v>
      </c>
      <c r="AC47" s="122">
        <f t="shared" si="23"/>
        <v>346.73800750628686</v>
      </c>
      <c r="AD47" s="122">
        <f t="shared" si="24"/>
        <v>100.3373509940391</v>
      </c>
      <c r="AE47" s="124">
        <f t="shared" si="25"/>
        <v>4.1758189860847551E-3</v>
      </c>
      <c r="AF47" s="124">
        <f t="shared" si="39"/>
        <v>9.758763369505815E-3</v>
      </c>
    </row>
    <row r="48" spans="1:32" ht="14.25" x14ac:dyDescent="0.2">
      <c r="A48" s="68">
        <v>2</v>
      </c>
      <c r="B48" s="69" t="str">
        <f t="shared" si="0"/>
        <v>plastic</v>
      </c>
      <c r="C48" s="105">
        <f t="shared" si="12"/>
        <v>597.75333333333322</v>
      </c>
      <c r="D48" s="70">
        <v>0.4</v>
      </c>
      <c r="E48" s="70">
        <v>6</v>
      </c>
      <c r="F48" s="71">
        <v>0.6</v>
      </c>
      <c r="G48" s="90">
        <v>1280.9000000000001</v>
      </c>
      <c r="H48" s="99">
        <f t="shared" si="1"/>
        <v>372.68304579298473</v>
      </c>
      <c r="I48" s="99">
        <f t="shared" si="2"/>
        <v>107.59811165110688</v>
      </c>
      <c r="J48" s="102">
        <f t="shared" si="3"/>
        <v>3.3414855833259031E-2</v>
      </c>
      <c r="K48" s="121">
        <f t="shared" si="4"/>
        <v>213.48333333333329</v>
      </c>
      <c r="L48" s="121">
        <f t="shared" si="5"/>
        <v>853.93333333333339</v>
      </c>
      <c r="M48" s="121">
        <f t="shared" si="6"/>
        <v>0.66666666666666674</v>
      </c>
      <c r="N48" s="121">
        <f t="shared" si="13"/>
        <v>0.29103145640780781</v>
      </c>
      <c r="O48" s="121">
        <f t="shared" si="7"/>
        <v>0.76988051794504508</v>
      </c>
      <c r="P48" s="122">
        <f t="shared" si="14"/>
        <v>0.57585954700650654</v>
      </c>
      <c r="Q48" s="123">
        <f t="shared" si="8"/>
        <v>30760.624828712502</v>
      </c>
      <c r="R48" s="122">
        <f t="shared" si="9"/>
        <v>5.4649074869232566</v>
      </c>
      <c r="S48" s="120">
        <f t="shared" si="10"/>
        <v>26</v>
      </c>
      <c r="T48" s="120">
        <f t="shared" si="15"/>
        <v>7.1999999999999993</v>
      </c>
      <c r="U48" s="122">
        <f t="shared" si="16"/>
        <v>0.11064130137777173</v>
      </c>
      <c r="V48" s="124">
        <f t="shared" si="17"/>
        <v>2.6895367441138251E-2</v>
      </c>
      <c r="W48" s="124">
        <f t="shared" si="11"/>
        <v>3.3385330696971069E-2</v>
      </c>
      <c r="X48" s="122">
        <f t="shared" si="18"/>
        <v>395.22774999209923</v>
      </c>
      <c r="Y48" s="122">
        <f t="shared" si="19"/>
        <v>46.731514540409293</v>
      </c>
      <c r="Z48" s="122">
        <f t="shared" si="20"/>
        <v>346.90289264619327</v>
      </c>
      <c r="AA48" s="122">
        <f t="shared" si="21"/>
        <v>100.15506902283573</v>
      </c>
      <c r="AB48" s="122">
        <f t="shared" si="22"/>
        <v>1.0045493533821508</v>
      </c>
      <c r="AC48" s="122">
        <f t="shared" si="23"/>
        <v>346.68304579298473</v>
      </c>
      <c r="AD48" s="122">
        <f t="shared" si="24"/>
        <v>100.39811165110687</v>
      </c>
      <c r="AE48" s="124">
        <f t="shared" si="25"/>
        <v>1.6705582595611515E-2</v>
      </c>
      <c r="AF48" s="124">
        <f t="shared" si="39"/>
        <v>3.903505347802326E-2</v>
      </c>
    </row>
    <row r="49" spans="1:32" ht="15" thickBot="1" x14ac:dyDescent="0.25">
      <c r="A49" s="86">
        <v>2.75</v>
      </c>
      <c r="B49" s="87" t="str">
        <f t="shared" si="0"/>
        <v>plastic</v>
      </c>
      <c r="C49" s="106">
        <f t="shared" si="12"/>
        <v>597.75333333333322</v>
      </c>
      <c r="D49" s="88">
        <v>0.4</v>
      </c>
      <c r="E49" s="88">
        <v>6</v>
      </c>
      <c r="F49" s="89">
        <v>0.6</v>
      </c>
      <c r="G49" s="109">
        <v>1280.9000000000001</v>
      </c>
      <c r="H49" s="100">
        <f t="shared" si="1"/>
        <v>382.3506032230315</v>
      </c>
      <c r="I49" s="100">
        <f t="shared" si="2"/>
        <v>110.38925263670853</v>
      </c>
      <c r="J49" s="103">
        <f t="shared" si="3"/>
        <v>3.3425927759367008E-2</v>
      </c>
      <c r="K49" s="139">
        <f t="shared" si="4"/>
        <v>213.48333333333329</v>
      </c>
      <c r="L49" s="140">
        <f t="shared" si="5"/>
        <v>853.93333333333339</v>
      </c>
      <c r="M49" s="140">
        <f t="shared" si="6"/>
        <v>0.66666666666666674</v>
      </c>
      <c r="N49" s="140">
        <f t="shared" si="13"/>
        <v>0.29103145640780781</v>
      </c>
      <c r="O49" s="140">
        <f t="shared" si="7"/>
        <v>0.76988051794504508</v>
      </c>
      <c r="P49" s="141">
        <f t="shared" si="14"/>
        <v>0.57585954700650654</v>
      </c>
      <c r="Q49" s="142">
        <f t="shared" si="8"/>
        <v>30760.624828712502</v>
      </c>
      <c r="R49" s="141">
        <f t="shared" si="9"/>
        <v>5.4649074869232566</v>
      </c>
      <c r="S49" s="143">
        <f t="shared" si="10"/>
        <v>35.75</v>
      </c>
      <c r="T49" s="143">
        <f t="shared" si="15"/>
        <v>9.8999999999999986</v>
      </c>
      <c r="U49" s="141">
        <f t="shared" si="16"/>
        <v>0.11064130137777173</v>
      </c>
      <c r="V49" s="144">
        <f t="shared" si="17"/>
        <v>2.6895367441138251E-2</v>
      </c>
      <c r="W49" s="144">
        <f t="shared" si="11"/>
        <v>3.3385330696971069E-2</v>
      </c>
      <c r="X49" s="141">
        <f t="shared" si="18"/>
        <v>395.22774999209923</v>
      </c>
      <c r="Y49" s="141">
        <f t="shared" si="19"/>
        <v>46.731514540409293</v>
      </c>
      <c r="Z49" s="141">
        <f t="shared" si="20"/>
        <v>346.90289264619327</v>
      </c>
      <c r="AA49" s="141">
        <f t="shared" si="21"/>
        <v>100.15506902283573</v>
      </c>
      <c r="AB49" s="141">
        <f t="shared" si="22"/>
        <v>1.006255360900457</v>
      </c>
      <c r="AC49" s="141">
        <f t="shared" si="23"/>
        <v>346.6006032230315</v>
      </c>
      <c r="AD49" s="141">
        <f t="shared" si="24"/>
        <v>100.48925263670853</v>
      </c>
      <c r="AE49" s="144">
        <f t="shared" si="25"/>
        <v>2.5065293847234767E-2</v>
      </c>
      <c r="AF49" s="144">
        <f t="shared" si="39"/>
        <v>5.855258021703489E-2</v>
      </c>
    </row>
    <row r="50" spans="1:32" ht="14.25" x14ac:dyDescent="0.2">
      <c r="A50" s="79">
        <v>2.75</v>
      </c>
      <c r="B50" s="83" t="str">
        <f t="shared" si="0"/>
        <v>plastic</v>
      </c>
      <c r="C50" s="107">
        <f t="shared" si="12"/>
        <v>662.3399999999998</v>
      </c>
      <c r="D50" s="84">
        <v>0.4</v>
      </c>
      <c r="E50" s="84">
        <v>6.5</v>
      </c>
      <c r="F50" s="85">
        <v>0.6</v>
      </c>
      <c r="G50" s="108">
        <v>1419.3</v>
      </c>
      <c r="H50" s="101">
        <f t="shared" si="1"/>
        <v>371.12622245969709</v>
      </c>
      <c r="I50" s="101">
        <f t="shared" si="2"/>
        <v>107.14863788854353</v>
      </c>
      <c r="J50" s="104">
        <f t="shared" si="3"/>
        <v>3.1845181344746988E-2</v>
      </c>
      <c r="K50" s="135">
        <f t="shared" si="4"/>
        <v>236.54999999999995</v>
      </c>
      <c r="L50" s="135">
        <f t="shared" si="5"/>
        <v>946.2</v>
      </c>
      <c r="M50" s="135">
        <f t="shared" si="6"/>
        <v>0.66666666666666674</v>
      </c>
      <c r="N50" s="135">
        <f t="shared" si="13"/>
        <v>0.29103145640780781</v>
      </c>
      <c r="O50" s="135">
        <f t="shared" si="7"/>
        <v>0.76988051794504508</v>
      </c>
      <c r="P50" s="136">
        <f t="shared" si="14"/>
        <v>0.57585954700650654</v>
      </c>
      <c r="Q50" s="137">
        <f t="shared" si="8"/>
        <v>29374.678949298817</v>
      </c>
      <c r="R50" s="136">
        <f t="shared" si="9"/>
        <v>4.9320087367011904</v>
      </c>
      <c r="S50" s="131">
        <f t="shared" ref="S50:S64" si="40">S49+(A50-A49)*$C$21</f>
        <v>35.75</v>
      </c>
      <c r="T50" s="131">
        <f t="shared" si="15"/>
        <v>9.8999999999999986</v>
      </c>
      <c r="U50" s="136">
        <f t="shared" si="16"/>
        <v>0.10686256201330471</v>
      </c>
      <c r="V50" s="138">
        <f t="shared" si="17"/>
        <v>2.6046018608946432E-2</v>
      </c>
      <c r="W50" s="138">
        <f t="shared" si="11"/>
        <v>3.1806978206438206E-2</v>
      </c>
      <c r="X50" s="136">
        <f t="shared" si="18"/>
        <v>383.51205619295831</v>
      </c>
      <c r="Y50" s="136">
        <f t="shared" si="19"/>
        <v>47.169489169270612</v>
      </c>
      <c r="Z50" s="136">
        <f t="shared" si="20"/>
        <v>335.69332684139823</v>
      </c>
      <c r="AA50" s="136">
        <f t="shared" si="21"/>
        <v>96.918731532734995</v>
      </c>
      <c r="AB50" s="136">
        <f>IF(((X50+S50)/(Y50+T50))&lt;=$C$26,0,(T50*$C$26+Y50*$C$26-X50-S50)/($C$26*Y50-$C$26*AA50-X50+Z50))</f>
        <v>1.0066313845223667</v>
      </c>
      <c r="AC50" s="136">
        <f t="shared" si="23"/>
        <v>335.37622245969709</v>
      </c>
      <c r="AD50" s="136">
        <f t="shared" si="24"/>
        <v>97.248637888543541</v>
      </c>
      <c r="AE50" s="138">
        <f t="shared" si="25"/>
        <v>0</v>
      </c>
      <c r="AF50" s="138">
        <f t="shared" si="39"/>
        <v>0</v>
      </c>
    </row>
    <row r="51" spans="1:32" ht="14.25" x14ac:dyDescent="0.2">
      <c r="A51" s="68">
        <v>3.375</v>
      </c>
      <c r="B51" s="69" t="str">
        <f t="shared" si="0"/>
        <v>plastic</v>
      </c>
      <c r="C51" s="105">
        <f t="shared" si="12"/>
        <v>662.3399999999998</v>
      </c>
      <c r="D51" s="70">
        <v>0.4</v>
      </c>
      <c r="E51" s="70">
        <v>6.5</v>
      </c>
      <c r="F51" s="71">
        <v>0.6</v>
      </c>
      <c r="G51" s="90">
        <v>1419.3</v>
      </c>
      <c r="H51" s="99">
        <f t="shared" si="1"/>
        <v>379.32022792912579</v>
      </c>
      <c r="I51" s="99">
        <f t="shared" si="2"/>
        <v>109.51434656598929</v>
      </c>
      <c r="J51" s="102">
        <f t="shared" si="3"/>
        <v>3.1836867913445588E-2</v>
      </c>
      <c r="K51" s="121">
        <f t="shared" si="4"/>
        <v>236.54999999999995</v>
      </c>
      <c r="L51" s="121">
        <f t="shared" si="5"/>
        <v>946.2</v>
      </c>
      <c r="M51" s="121">
        <f t="shared" si="6"/>
        <v>0.66666666666666674</v>
      </c>
      <c r="N51" s="121">
        <f t="shared" si="13"/>
        <v>0.29103145640780781</v>
      </c>
      <c r="O51" s="121">
        <f t="shared" si="7"/>
        <v>0.76988051794504508</v>
      </c>
      <c r="P51" s="122">
        <f t="shared" si="14"/>
        <v>0.57585954700650654</v>
      </c>
      <c r="Q51" s="123">
        <f t="shared" si="8"/>
        <v>29374.678949298817</v>
      </c>
      <c r="R51" s="122">
        <f t="shared" si="9"/>
        <v>4.9320087367011904</v>
      </c>
      <c r="S51" s="120">
        <f t="shared" si="40"/>
        <v>43.875</v>
      </c>
      <c r="T51" s="120">
        <f t="shared" si="15"/>
        <v>12.337499999999999</v>
      </c>
      <c r="U51" s="122">
        <f t="shared" si="16"/>
        <v>0.10686256201330471</v>
      </c>
      <c r="V51" s="124">
        <f t="shared" si="17"/>
        <v>2.6046018608946432E-2</v>
      </c>
      <c r="W51" s="124">
        <f t="shared" si="11"/>
        <v>3.1806978206438206E-2</v>
      </c>
      <c r="X51" s="122">
        <f t="shared" si="18"/>
        <v>383.51205619295831</v>
      </c>
      <c r="Y51" s="122">
        <f t="shared" si="19"/>
        <v>47.169489169270612</v>
      </c>
      <c r="Z51" s="122">
        <f t="shared" si="20"/>
        <v>335.69332684139823</v>
      </c>
      <c r="AA51" s="122">
        <f t="shared" si="21"/>
        <v>96.918731532734995</v>
      </c>
      <c r="AB51" s="122">
        <f>IF(((X51+S51)/(Y51+T51))&lt;=$C$26,0,(T51*$C$26+Y51*$C$26-X51-S51)/($C$26*Y51-$C$26*AA51-X51+Z51))</f>
        <v>1.0051883208867487</v>
      </c>
      <c r="AC51" s="122">
        <f t="shared" si="23"/>
        <v>335.44522792912579</v>
      </c>
      <c r="AD51" s="122">
        <f t="shared" si="24"/>
        <v>97.17684656598928</v>
      </c>
      <c r="AE51" s="124">
        <f t="shared" si="25"/>
        <v>1.9900640393185176E-2</v>
      </c>
      <c r="AF51" s="124">
        <f t="shared" si="39"/>
        <v>4.4035792291974921E-2</v>
      </c>
    </row>
    <row r="52" spans="1:32" ht="14.25" x14ac:dyDescent="0.2">
      <c r="A52" s="68">
        <v>3.5</v>
      </c>
      <c r="B52" s="69" t="str">
        <f t="shared" si="0"/>
        <v>plastic</v>
      </c>
      <c r="C52" s="105">
        <f t="shared" ref="C52" si="41">(1+D52)*(1-2*D52)*G52/(1-D52)</f>
        <v>662.3399999999998</v>
      </c>
      <c r="D52" s="70">
        <v>0.4</v>
      </c>
      <c r="E52" s="70">
        <v>6.5</v>
      </c>
      <c r="F52" s="71">
        <v>0.6</v>
      </c>
      <c r="G52" s="90">
        <v>1419.3</v>
      </c>
      <c r="H52" s="99">
        <f t="shared" si="1"/>
        <v>380.95902902301145</v>
      </c>
      <c r="I52" s="99">
        <f t="shared" si="2"/>
        <v>109.98748830147842</v>
      </c>
      <c r="J52" s="102">
        <f t="shared" si="3"/>
        <v>3.1835205227185311E-2</v>
      </c>
      <c r="K52" s="121">
        <f t="shared" si="4"/>
        <v>236.54999999999995</v>
      </c>
      <c r="L52" s="121">
        <f t="shared" si="5"/>
        <v>946.2</v>
      </c>
      <c r="M52" s="121">
        <f t="shared" si="6"/>
        <v>0.66666666666666674</v>
      </c>
      <c r="N52" s="121">
        <f t="shared" ref="N52" si="42">2*M52*$C$11/(1-$C$11)</f>
        <v>0.29103145640780781</v>
      </c>
      <c r="O52" s="121">
        <f t="shared" si="7"/>
        <v>0.76988051794504508</v>
      </c>
      <c r="P52" s="122">
        <f t="shared" ref="P52" si="43">O52-M52*N52</f>
        <v>0.57585954700650654</v>
      </c>
      <c r="Q52" s="123">
        <f t="shared" si="8"/>
        <v>29374.678949298817</v>
      </c>
      <c r="R52" s="122">
        <f t="shared" si="9"/>
        <v>4.9320087367011904</v>
      </c>
      <c r="S52" s="120">
        <f t="shared" si="40"/>
        <v>45.5</v>
      </c>
      <c r="T52" s="120">
        <f t="shared" si="15"/>
        <v>12.824999999999999</v>
      </c>
      <c r="U52" s="122">
        <f t="shared" ref="U52" si="44">(($C$28-L52)*(1-$C$11))/(2*($C$11*(L52+K52-$C$28-$C$29)+$C$28+$C$29+K52)+(1-$C$11)*(2*K52+L52)*R52)</f>
        <v>0.10686256201330471</v>
      </c>
      <c r="V52" s="124">
        <f t="shared" ref="V52" si="45">$C$32/(($C$28+2*$C$29)*$C$11+(L52+2*K52)*(1-$C$11)-2*$C$11*($C$28-L52)*U52)</f>
        <v>2.6046018608946432E-2</v>
      </c>
      <c r="W52" s="124">
        <f t="shared" si="11"/>
        <v>3.1806978206438206E-2</v>
      </c>
      <c r="X52" s="122">
        <f t="shared" ref="X52" si="46">($C$28+2*$C$29-2*$C$28*U52)*V52</f>
        <v>383.51205619295831</v>
      </c>
      <c r="Y52" s="122">
        <f t="shared" ref="Y52" si="47">($C$28-2*($C$28+$C$29)*U52)*V52</f>
        <v>47.169489169270612</v>
      </c>
      <c r="Z52" s="122">
        <f t="shared" ref="Z52" si="48">$C$30/Q52*($C$26*(2*M52+$C$27*(O52+R52)))*$C$32</f>
        <v>335.69332684139823</v>
      </c>
      <c r="AA52" s="122">
        <f t="shared" ref="AA52" si="49">$C$30/Q52*(2*M52+$C$27*(O52+R52))*$C$32</f>
        <v>96.918731532734995</v>
      </c>
      <c r="AB52" s="122">
        <f t="shared" ref="AB52" si="50">IF(((X52+S52)/(Y52+T52))&lt;=$C$26,0,(T52*$C$26+Y52*$C$26-X52-S52)/($C$26*Y52-$C$26*AA52-X52+Z52))</f>
        <v>1.0048997081596249</v>
      </c>
      <c r="AC52" s="122">
        <f t="shared" ref="AC52" si="51">(1-AB52)*X52+AB52*Z52</f>
        <v>335.45902902301145</v>
      </c>
      <c r="AD52" s="122">
        <f t="shared" ref="AD52" si="52">(1-AB52)*Y52+AB52*AA52</f>
        <v>97.162488301478419</v>
      </c>
      <c r="AE52" s="124">
        <f t="shared" si="25"/>
        <v>3.9795045712894307E-3</v>
      </c>
      <c r="AF52" s="124">
        <f t="shared" si="39"/>
        <v>8.8071584583949841E-3</v>
      </c>
    </row>
    <row r="53" spans="1:32" ht="15" thickBot="1" x14ac:dyDescent="0.25">
      <c r="A53" s="86">
        <v>4</v>
      </c>
      <c r="B53" s="87" t="str">
        <f t="shared" si="0"/>
        <v>plastic</v>
      </c>
      <c r="C53" s="106">
        <f t="shared" si="12"/>
        <v>662.3399999999998</v>
      </c>
      <c r="D53" s="88">
        <v>0.4</v>
      </c>
      <c r="E53" s="88">
        <v>6.5</v>
      </c>
      <c r="F53" s="89">
        <v>0.6</v>
      </c>
      <c r="G53" s="109">
        <v>1419.3</v>
      </c>
      <c r="H53" s="100">
        <f t="shared" si="1"/>
        <v>387.5142333985545</v>
      </c>
      <c r="I53" s="100">
        <f t="shared" si="2"/>
        <v>111.88005524343501</v>
      </c>
      <c r="J53" s="103">
        <f t="shared" si="3"/>
        <v>3.1828554482144181E-2</v>
      </c>
      <c r="K53" s="139">
        <f t="shared" si="4"/>
        <v>236.54999999999995</v>
      </c>
      <c r="L53" s="140">
        <f t="shared" si="5"/>
        <v>946.2</v>
      </c>
      <c r="M53" s="140">
        <f t="shared" si="6"/>
        <v>0.66666666666666674</v>
      </c>
      <c r="N53" s="140">
        <f t="shared" si="13"/>
        <v>0.29103145640780781</v>
      </c>
      <c r="O53" s="140">
        <f t="shared" si="7"/>
        <v>0.76988051794504508</v>
      </c>
      <c r="P53" s="141">
        <f t="shared" si="14"/>
        <v>0.57585954700650654</v>
      </c>
      <c r="Q53" s="142">
        <f t="shared" si="8"/>
        <v>29374.678949298817</v>
      </c>
      <c r="R53" s="141">
        <f t="shared" si="9"/>
        <v>4.9320087367011904</v>
      </c>
      <c r="S53" s="143">
        <f t="shared" si="40"/>
        <v>52</v>
      </c>
      <c r="T53" s="143">
        <f t="shared" si="15"/>
        <v>14.774999999999999</v>
      </c>
      <c r="U53" s="141">
        <f t="shared" si="16"/>
        <v>0.10686256201330471</v>
      </c>
      <c r="V53" s="144">
        <f t="shared" si="17"/>
        <v>2.6046018608946432E-2</v>
      </c>
      <c r="W53" s="144">
        <f t="shared" si="11"/>
        <v>3.1806978206438206E-2</v>
      </c>
      <c r="X53" s="141">
        <f t="shared" si="18"/>
        <v>383.51205619295831</v>
      </c>
      <c r="Y53" s="141">
        <f t="shared" si="19"/>
        <v>47.169489169270612</v>
      </c>
      <c r="Z53" s="141">
        <f t="shared" si="20"/>
        <v>335.69332684139823</v>
      </c>
      <c r="AA53" s="141">
        <f t="shared" si="21"/>
        <v>96.918731532734995</v>
      </c>
      <c r="AB53" s="141">
        <f t="shared" si="22"/>
        <v>1.0037452572511305</v>
      </c>
      <c r="AC53" s="141">
        <f t="shared" si="23"/>
        <v>335.5142333985545</v>
      </c>
      <c r="AD53" s="141">
        <f t="shared" si="24"/>
        <v>97.105055243435018</v>
      </c>
      <c r="AE53" s="144">
        <f t="shared" si="25"/>
        <v>1.5915939927332375E-2</v>
      </c>
      <c r="AF53" s="144">
        <f t="shared" si="39"/>
        <v>3.5228633833579936E-2</v>
      </c>
    </row>
    <row r="54" spans="1:32" ht="14.25" x14ac:dyDescent="0.2">
      <c r="A54" s="80">
        <v>4</v>
      </c>
      <c r="B54" s="83" t="str">
        <f t="shared" si="0"/>
        <v>plastic</v>
      </c>
      <c r="C54" s="107">
        <f t="shared" si="12"/>
        <v>432.64666666666653</v>
      </c>
      <c r="D54" s="84">
        <v>0.4</v>
      </c>
      <c r="E54" s="84">
        <v>5</v>
      </c>
      <c r="F54" s="85">
        <v>0.6</v>
      </c>
      <c r="G54" s="108">
        <v>927.1</v>
      </c>
      <c r="H54" s="101">
        <f t="shared" si="1"/>
        <v>433.43541652872528</v>
      </c>
      <c r="I54" s="101">
        <f t="shared" si="2"/>
        <v>125.13805730542214</v>
      </c>
      <c r="J54" s="104">
        <f t="shared" si="3"/>
        <v>3.8332943691759172E-2</v>
      </c>
      <c r="K54" s="135">
        <f t="shared" si="4"/>
        <v>154.51666666666662</v>
      </c>
      <c r="L54" s="135">
        <f t="shared" si="5"/>
        <v>618.06666666666672</v>
      </c>
      <c r="M54" s="135">
        <f t="shared" si="6"/>
        <v>0.66666666666666674</v>
      </c>
      <c r="N54" s="135">
        <f t="shared" si="13"/>
        <v>0.29103145640780781</v>
      </c>
      <c r="O54" s="135">
        <f t="shared" si="7"/>
        <v>0.76988051794504508</v>
      </c>
      <c r="P54" s="136">
        <f t="shared" si="14"/>
        <v>0.57585954700650654</v>
      </c>
      <c r="Q54" s="137">
        <f t="shared" si="8"/>
        <v>36273.360280523761</v>
      </c>
      <c r="R54" s="136">
        <f t="shared" si="9"/>
        <v>7.5504260597562283</v>
      </c>
      <c r="S54" s="131">
        <f t="shared" si="40"/>
        <v>52</v>
      </c>
      <c r="T54" s="131">
        <f t="shared" si="15"/>
        <v>14.774999999999999</v>
      </c>
      <c r="U54" s="136">
        <f t="shared" si="16"/>
        <v>0.12043589564894838</v>
      </c>
      <c r="V54" s="138">
        <f t="shared" si="17"/>
        <v>2.9352450893040054E-2</v>
      </c>
      <c r="W54" s="138">
        <f t="shared" si="11"/>
        <v>3.8305786584858205E-2</v>
      </c>
      <c r="X54" s="136">
        <f t="shared" si="18"/>
        <v>429.09854612555046</v>
      </c>
      <c r="Y54" s="136">
        <f t="shared" si="19"/>
        <v>45.410584057474168</v>
      </c>
      <c r="Z54" s="136">
        <f t="shared" si="20"/>
        <v>381.57955034573359</v>
      </c>
      <c r="AA54" s="136">
        <f t="shared" si="21"/>
        <v>110.16664032708793</v>
      </c>
      <c r="AB54" s="136">
        <f t="shared" si="22"/>
        <v>1.0030331831437727</v>
      </c>
      <c r="AC54" s="136">
        <f t="shared" si="23"/>
        <v>381.43541652872528</v>
      </c>
      <c r="AD54" s="136">
        <f t="shared" si="24"/>
        <v>110.36305730542213</v>
      </c>
      <c r="AE54" s="138">
        <f t="shared" si="25"/>
        <v>0</v>
      </c>
      <c r="AF54" s="138">
        <f t="shared" si="39"/>
        <v>0</v>
      </c>
    </row>
    <row r="55" spans="1:32" s="73" customFormat="1" ht="14.25" customHeight="1" x14ac:dyDescent="0.2">
      <c r="A55" s="68">
        <v>4.5</v>
      </c>
      <c r="B55" s="69" t="str">
        <f t="shared" si="0"/>
        <v>plastic</v>
      </c>
      <c r="C55" s="105">
        <f t="shared" si="12"/>
        <v>432.64666666666653</v>
      </c>
      <c r="D55" s="70">
        <v>0.4</v>
      </c>
      <c r="E55" s="70">
        <v>5</v>
      </c>
      <c r="F55" s="71">
        <v>0.6</v>
      </c>
      <c r="G55" s="90">
        <v>927.1</v>
      </c>
      <c r="H55" s="99">
        <f t="shared" si="1"/>
        <v>439.7073574347022</v>
      </c>
      <c r="I55" s="99">
        <f t="shared" si="2"/>
        <v>126.94884265100856</v>
      </c>
      <c r="J55" s="102">
        <f t="shared" si="3"/>
        <v>3.8375913657619158E-2</v>
      </c>
      <c r="K55" s="125">
        <f t="shared" si="4"/>
        <v>154.51666666666662</v>
      </c>
      <c r="L55" s="125">
        <f t="shared" si="5"/>
        <v>618.06666666666672</v>
      </c>
      <c r="M55" s="125">
        <f t="shared" si="6"/>
        <v>0.66666666666666674</v>
      </c>
      <c r="N55" s="125">
        <f t="shared" si="13"/>
        <v>0.29103145640780781</v>
      </c>
      <c r="O55" s="125">
        <f t="shared" si="7"/>
        <v>0.76988051794504508</v>
      </c>
      <c r="P55" s="126">
        <f t="shared" si="14"/>
        <v>0.57585954700650654</v>
      </c>
      <c r="Q55" s="127">
        <f t="shared" si="8"/>
        <v>36273.360280523761</v>
      </c>
      <c r="R55" s="126">
        <f t="shared" si="9"/>
        <v>7.5504260597562283</v>
      </c>
      <c r="S55" s="120">
        <f t="shared" si="40"/>
        <v>58.5</v>
      </c>
      <c r="T55" s="120">
        <f t="shared" si="15"/>
        <v>16.274999999999999</v>
      </c>
      <c r="U55" s="122">
        <f t="shared" si="16"/>
        <v>0.12043589564894838</v>
      </c>
      <c r="V55" s="124">
        <f t="shared" si="17"/>
        <v>2.9352450893040054E-2</v>
      </c>
      <c r="W55" s="124">
        <f t="shared" si="11"/>
        <v>3.8305786584858205E-2</v>
      </c>
      <c r="X55" s="122">
        <f t="shared" si="18"/>
        <v>429.09854612555046</v>
      </c>
      <c r="Y55" s="122">
        <f t="shared" si="19"/>
        <v>45.410584057474168</v>
      </c>
      <c r="Z55" s="122">
        <f t="shared" si="20"/>
        <v>381.57955034573359</v>
      </c>
      <c r="AA55" s="122">
        <f t="shared" si="21"/>
        <v>110.16664032708793</v>
      </c>
      <c r="AB55" s="122">
        <f t="shared" si="22"/>
        <v>1.0078325079249557</v>
      </c>
      <c r="AC55" s="122">
        <f t="shared" si="23"/>
        <v>381.2073574347022</v>
      </c>
      <c r="AD55" s="122">
        <f t="shared" si="24"/>
        <v>110.67384265100857</v>
      </c>
      <c r="AE55" s="124">
        <f t="shared" si="25"/>
        <v>1.9177214337344581E-2</v>
      </c>
      <c r="AF55" s="124">
        <f t="shared" si="39"/>
        <v>5.3931614712544491E-2</v>
      </c>
    </row>
    <row r="56" spans="1:32" ht="15" thickBot="1" x14ac:dyDescent="0.25">
      <c r="A56" s="86">
        <v>5</v>
      </c>
      <c r="B56" s="87" t="str">
        <f t="shared" si="0"/>
        <v>plastic</v>
      </c>
      <c r="C56" s="106">
        <f t="shared" si="12"/>
        <v>432.64666666666653</v>
      </c>
      <c r="D56" s="88">
        <v>0.4</v>
      </c>
      <c r="E56" s="88">
        <v>5</v>
      </c>
      <c r="F56" s="89">
        <v>0.6</v>
      </c>
      <c r="G56" s="109">
        <v>927.1</v>
      </c>
      <c r="H56" s="100">
        <f t="shared" si="1"/>
        <v>445.97929834067924</v>
      </c>
      <c r="I56" s="100">
        <f t="shared" si="2"/>
        <v>128.75962799659501</v>
      </c>
      <c r="J56" s="103">
        <f t="shared" si="3"/>
        <v>3.8418883623479151E-2</v>
      </c>
      <c r="K56" s="139">
        <f t="shared" si="4"/>
        <v>154.51666666666662</v>
      </c>
      <c r="L56" s="140">
        <f t="shared" si="5"/>
        <v>618.06666666666672</v>
      </c>
      <c r="M56" s="140">
        <f t="shared" si="6"/>
        <v>0.66666666666666674</v>
      </c>
      <c r="N56" s="140">
        <f t="shared" si="13"/>
        <v>0.29103145640780781</v>
      </c>
      <c r="O56" s="140">
        <f t="shared" si="7"/>
        <v>0.76988051794504508</v>
      </c>
      <c r="P56" s="141">
        <f t="shared" si="14"/>
        <v>0.57585954700650654</v>
      </c>
      <c r="Q56" s="142">
        <f t="shared" si="8"/>
        <v>36273.360280523761</v>
      </c>
      <c r="R56" s="141">
        <f t="shared" si="9"/>
        <v>7.5504260597562283</v>
      </c>
      <c r="S56" s="143">
        <f t="shared" si="40"/>
        <v>65</v>
      </c>
      <c r="T56" s="143">
        <f t="shared" si="15"/>
        <v>17.774999999999999</v>
      </c>
      <c r="U56" s="141">
        <f t="shared" si="16"/>
        <v>0.12043589564894838</v>
      </c>
      <c r="V56" s="144">
        <f t="shared" si="17"/>
        <v>2.9352450893040054E-2</v>
      </c>
      <c r="W56" s="144">
        <f t="shared" si="11"/>
        <v>3.8305786584858205E-2</v>
      </c>
      <c r="X56" s="141">
        <f t="shared" si="18"/>
        <v>429.09854612555046</v>
      </c>
      <c r="Y56" s="141">
        <f t="shared" si="19"/>
        <v>45.410584057474168</v>
      </c>
      <c r="Z56" s="141">
        <f t="shared" si="20"/>
        <v>381.57955034573359</v>
      </c>
      <c r="AA56" s="141">
        <f t="shared" si="21"/>
        <v>110.16664032708793</v>
      </c>
      <c r="AB56" s="141">
        <f t="shared" si="22"/>
        <v>1.0126318327061388</v>
      </c>
      <c r="AC56" s="141">
        <f t="shared" si="23"/>
        <v>380.97929834067924</v>
      </c>
      <c r="AD56" s="141">
        <f t="shared" si="24"/>
        <v>110.98462799659501</v>
      </c>
      <c r="AE56" s="144">
        <f t="shared" si="25"/>
        <v>1.9198699320274577E-2</v>
      </c>
      <c r="AF56" s="144">
        <f t="shared" si="39"/>
        <v>5.3931614712544491E-2</v>
      </c>
    </row>
    <row r="57" spans="1:32" ht="14.25" x14ac:dyDescent="0.2">
      <c r="A57" s="82">
        <v>5</v>
      </c>
      <c r="B57" s="83" t="str">
        <f t="shared" si="0"/>
        <v>plastic</v>
      </c>
      <c r="C57" s="107">
        <f t="shared" si="12"/>
        <v>718.19999999999982</v>
      </c>
      <c r="D57" s="84">
        <v>0.4</v>
      </c>
      <c r="E57" s="84">
        <v>7</v>
      </c>
      <c r="F57" s="85">
        <v>0.6</v>
      </c>
      <c r="G57" s="108">
        <v>1539</v>
      </c>
      <c r="H57" s="101">
        <f t="shared" si="1"/>
        <v>391.06421529756216</v>
      </c>
      <c r="I57" s="101">
        <f t="shared" si="2"/>
        <v>112.90497803785962</v>
      </c>
      <c r="J57" s="104">
        <f t="shared" si="3"/>
        <v>3.0650598518056044E-2</v>
      </c>
      <c r="K57" s="135">
        <f t="shared" si="4"/>
        <v>256.49999999999994</v>
      </c>
      <c r="L57" s="135">
        <f t="shared" si="5"/>
        <v>1026</v>
      </c>
      <c r="M57" s="135">
        <f t="shared" si="6"/>
        <v>0.66666666666666674</v>
      </c>
      <c r="N57" s="135">
        <f t="shared" si="13"/>
        <v>0.29103145640780781</v>
      </c>
      <c r="O57" s="135">
        <f t="shared" si="7"/>
        <v>0.76988051794504508</v>
      </c>
      <c r="P57" s="136">
        <f t="shared" si="14"/>
        <v>0.57585954700650654</v>
      </c>
      <c r="Q57" s="137">
        <f t="shared" si="8"/>
        <v>28386.511563156342</v>
      </c>
      <c r="R57" s="136">
        <f t="shared" si="9"/>
        <v>4.5484080571799872</v>
      </c>
      <c r="S57" s="131">
        <f t="shared" si="40"/>
        <v>65</v>
      </c>
      <c r="T57" s="131">
        <f t="shared" si="15"/>
        <v>17.774999999999999</v>
      </c>
      <c r="U57" s="136">
        <f t="shared" si="16"/>
        <v>0.10361789357240202</v>
      </c>
      <c r="V57" s="138">
        <f t="shared" si="17"/>
        <v>2.5354992043759621E-2</v>
      </c>
      <c r="W57" s="138">
        <f t="shared" si="11"/>
        <v>3.056516525902675E-2</v>
      </c>
      <c r="X57" s="136">
        <f t="shared" si="18"/>
        <v>373.97696949199889</v>
      </c>
      <c r="Y57" s="136">
        <f t="shared" si="19"/>
        <v>47.517702198410504</v>
      </c>
      <c r="Z57" s="136">
        <f t="shared" si="20"/>
        <v>326.83718488277742</v>
      </c>
      <c r="AA57" s="136">
        <f t="shared" si="21"/>
        <v>94.361856026809662</v>
      </c>
      <c r="AB57" s="136">
        <f t="shared" si="22"/>
        <v>1.01639739323425</v>
      </c>
      <c r="AC57" s="136">
        <f t="shared" si="23"/>
        <v>326.06421529756216</v>
      </c>
      <c r="AD57" s="136">
        <f t="shared" si="24"/>
        <v>95.12997803785963</v>
      </c>
      <c r="AE57" s="138">
        <f t="shared" si="25"/>
        <v>0</v>
      </c>
      <c r="AF57" s="138">
        <f t="shared" si="39"/>
        <v>0</v>
      </c>
    </row>
    <row r="58" spans="1:32" ht="14.25" x14ac:dyDescent="0.2">
      <c r="A58" s="80">
        <v>5.4249999999999998</v>
      </c>
      <c r="B58" s="69" t="str">
        <f t="shared" si="0"/>
        <v>plastic</v>
      </c>
      <c r="C58" s="105">
        <f t="shared" ref="C58" si="53">(1+D58)*(1-2*D58)*G58/(1-D58)</f>
        <v>718.19999999999982</v>
      </c>
      <c r="D58" s="70">
        <v>0.4</v>
      </c>
      <c r="E58" s="70">
        <v>7</v>
      </c>
      <c r="F58" s="71">
        <v>0.6</v>
      </c>
      <c r="G58" s="90">
        <v>1539</v>
      </c>
      <c r="H58" s="99">
        <f t="shared" si="1"/>
        <v>396.73726544737411</v>
      </c>
      <c r="I58" s="99">
        <f t="shared" si="2"/>
        <v>114.54285636452991</v>
      </c>
      <c r="J58" s="102">
        <f t="shared" si="3"/>
        <v>3.0634235122858944E-2</v>
      </c>
      <c r="K58" s="121">
        <f t="shared" si="4"/>
        <v>256.49999999999994</v>
      </c>
      <c r="L58" s="121">
        <f t="shared" si="5"/>
        <v>1026</v>
      </c>
      <c r="M58" s="121">
        <f t="shared" si="6"/>
        <v>0.66666666666666674</v>
      </c>
      <c r="N58" s="121">
        <f t="shared" ref="N58" si="54">2*M58*$C$11/(1-$C$11)</f>
        <v>0.29103145640780781</v>
      </c>
      <c r="O58" s="121">
        <f t="shared" si="7"/>
        <v>0.76988051794504508</v>
      </c>
      <c r="P58" s="122">
        <f t="shared" ref="P58" si="55">O58-M58*N58</f>
        <v>0.57585954700650654</v>
      </c>
      <c r="Q58" s="123">
        <f t="shared" si="8"/>
        <v>28386.511563156342</v>
      </c>
      <c r="R58" s="122">
        <f t="shared" si="9"/>
        <v>4.5484080571799872</v>
      </c>
      <c r="S58" s="120">
        <f t="shared" si="40"/>
        <v>70.524999999999991</v>
      </c>
      <c r="T58" s="120">
        <f t="shared" si="15"/>
        <v>19.559999999999999</v>
      </c>
      <c r="U58" s="122">
        <f t="shared" ref="U58" si="56">(($C$28-L58)*(1-$C$11))/(2*($C$11*(L58+K58-$C$28-$C$29)+$C$28+$C$29+K58)+(1-$C$11)*(2*K58+L58)*R58)</f>
        <v>0.10361789357240202</v>
      </c>
      <c r="V58" s="124">
        <f t="shared" ref="V58" si="57">$C$32/(($C$28+2*$C$29)*$C$11+(L58+2*K58)*(1-$C$11)-2*$C$11*($C$28-L58)*U58)</f>
        <v>2.5354992043759621E-2</v>
      </c>
      <c r="W58" s="124">
        <f t="shared" si="11"/>
        <v>3.056516525902675E-2</v>
      </c>
      <c r="X58" s="122">
        <f t="shared" ref="X58" si="58">($C$28+2*$C$29-2*$C$28*U58)*V58</f>
        <v>373.97696949199889</v>
      </c>
      <c r="Y58" s="122">
        <f t="shared" ref="Y58" si="59">($C$28-2*($C$28+$C$29)*U58)*V58</f>
        <v>47.517702198410504</v>
      </c>
      <c r="Z58" s="122">
        <f t="shared" ref="Z58" si="60">$C$30/Q58*($C$26*(2*M58+$C$27*(O58+R58)))*$C$32</f>
        <v>326.83718488277742</v>
      </c>
      <c r="AA58" s="122">
        <f t="shared" ref="AA58" si="61">$C$30/Q58*(2*M58+$C$27*(O58+R58))*$C$32</f>
        <v>94.361856026809662</v>
      </c>
      <c r="AB58" s="122">
        <f t="shared" ref="AB58" si="62">IF(((X58+S58)/(Y58+T58))&lt;=$C$26,0,(T58*$C$26+Y58*$C$26-X58-S58)/($C$26*Y58-$C$26*AA58-X58+Z58))</f>
        <v>1.0132567308184308</v>
      </c>
      <c r="AC58" s="122">
        <f t="shared" ref="AC58" si="63">(1-AB58)*X58+AB58*Z58</f>
        <v>326.21226544737414</v>
      </c>
      <c r="AD58" s="122">
        <f t="shared" ref="AD58" si="64">(1-AB58)*Y58+AB58*AA58</f>
        <v>94.982856364529908</v>
      </c>
      <c r="AE58" s="124">
        <f t="shared" si="25"/>
        <v>1.302302714869443E-2</v>
      </c>
      <c r="AF58" s="124">
        <f t="shared" si="39"/>
        <v>2.7615334632878484E-2</v>
      </c>
    </row>
    <row r="59" spans="1:32" ht="15" thickBot="1" x14ac:dyDescent="0.25">
      <c r="A59" s="86">
        <v>5.85</v>
      </c>
      <c r="B59" s="87" t="str">
        <f t="shared" si="0"/>
        <v>plastic</v>
      </c>
      <c r="C59" s="106">
        <f t="shared" si="12"/>
        <v>718.19999999999982</v>
      </c>
      <c r="D59" s="88">
        <v>0.4</v>
      </c>
      <c r="E59" s="88">
        <v>7</v>
      </c>
      <c r="F59" s="89">
        <v>0.6</v>
      </c>
      <c r="G59" s="109">
        <v>1539</v>
      </c>
      <c r="H59" s="100">
        <f t="shared" si="1"/>
        <v>402.41031559718613</v>
      </c>
      <c r="I59" s="100">
        <f t="shared" si="2"/>
        <v>116.18073469120019</v>
      </c>
      <c r="J59" s="103">
        <f t="shared" si="3"/>
        <v>3.0617871727661845E-2</v>
      </c>
      <c r="K59" s="139">
        <f t="shared" si="4"/>
        <v>256.49999999999994</v>
      </c>
      <c r="L59" s="140">
        <f t="shared" si="5"/>
        <v>1026</v>
      </c>
      <c r="M59" s="140">
        <f t="shared" si="6"/>
        <v>0.66666666666666674</v>
      </c>
      <c r="N59" s="140">
        <f t="shared" si="13"/>
        <v>0.29103145640780781</v>
      </c>
      <c r="O59" s="140">
        <f t="shared" si="7"/>
        <v>0.76988051794504508</v>
      </c>
      <c r="P59" s="141">
        <f t="shared" si="14"/>
        <v>0.57585954700650654</v>
      </c>
      <c r="Q59" s="142">
        <f t="shared" si="8"/>
        <v>28386.511563156342</v>
      </c>
      <c r="R59" s="141">
        <f t="shared" si="9"/>
        <v>4.5484080571799872</v>
      </c>
      <c r="S59" s="143">
        <f t="shared" si="40"/>
        <v>76.049999999999983</v>
      </c>
      <c r="T59" s="143">
        <f t="shared" si="15"/>
        <v>21.344999999999999</v>
      </c>
      <c r="U59" s="141">
        <f t="shared" si="16"/>
        <v>0.10361789357240202</v>
      </c>
      <c r="V59" s="144">
        <f t="shared" si="17"/>
        <v>2.5354992043759621E-2</v>
      </c>
      <c r="W59" s="144">
        <f t="shared" si="11"/>
        <v>3.056516525902675E-2</v>
      </c>
      <c r="X59" s="141">
        <f t="shared" si="18"/>
        <v>373.97696949199889</v>
      </c>
      <c r="Y59" s="141">
        <f t="shared" si="19"/>
        <v>47.517702198410504</v>
      </c>
      <c r="Z59" s="141">
        <f t="shared" si="20"/>
        <v>326.83718488277742</v>
      </c>
      <c r="AA59" s="141">
        <f t="shared" si="21"/>
        <v>94.361856026809662</v>
      </c>
      <c r="AB59" s="141">
        <f t="shared" si="22"/>
        <v>1.0101160684026114</v>
      </c>
      <c r="AC59" s="141">
        <f t="shared" si="23"/>
        <v>326.36031559718617</v>
      </c>
      <c r="AD59" s="141">
        <f t="shared" si="24"/>
        <v>94.835734691200187</v>
      </c>
      <c r="AE59" s="144">
        <f t="shared" si="25"/>
        <v>1.3016072705735663E-2</v>
      </c>
      <c r="AF59" s="144">
        <f t="shared" si="39"/>
        <v>2.7615334632878484E-2</v>
      </c>
    </row>
    <row r="60" spans="1:32" ht="14.25" x14ac:dyDescent="0.2">
      <c r="A60" s="79">
        <v>5.85</v>
      </c>
      <c r="B60" s="83" t="str">
        <f t="shared" si="0"/>
        <v>plastic</v>
      </c>
      <c r="C60" s="107">
        <f t="shared" si="12"/>
        <v>520.70666666666659</v>
      </c>
      <c r="D60" s="84">
        <v>0.4</v>
      </c>
      <c r="E60" s="84">
        <v>7</v>
      </c>
      <c r="F60" s="85">
        <v>0.6</v>
      </c>
      <c r="G60" s="108">
        <v>1115.8</v>
      </c>
      <c r="H60" s="101">
        <f t="shared" si="1"/>
        <v>437.51325222138905</v>
      </c>
      <c r="I60" s="101">
        <f t="shared" si="2"/>
        <v>126.31537788683073</v>
      </c>
      <c r="J60" s="104">
        <f t="shared" si="3"/>
        <v>3.5566698604775029E-2</v>
      </c>
      <c r="K60" s="135">
        <f t="shared" si="4"/>
        <v>185.96666666666664</v>
      </c>
      <c r="L60" s="135">
        <f t="shared" si="5"/>
        <v>743.86666666666679</v>
      </c>
      <c r="M60" s="135">
        <f t="shared" si="6"/>
        <v>0.66666666666666674</v>
      </c>
      <c r="N60" s="135">
        <f t="shared" si="13"/>
        <v>0.29103145640780781</v>
      </c>
      <c r="O60" s="135">
        <f t="shared" si="7"/>
        <v>0.76988051794504508</v>
      </c>
      <c r="P60" s="136">
        <f t="shared" si="14"/>
        <v>0.57585954700650654</v>
      </c>
      <c r="Q60" s="137">
        <f t="shared" si="8"/>
        <v>32884.880172588688</v>
      </c>
      <c r="R60" s="136">
        <f t="shared" si="9"/>
        <v>6.2735257214554583</v>
      </c>
      <c r="S60" s="131">
        <f t="shared" si="40"/>
        <v>76.049999999999983</v>
      </c>
      <c r="T60" s="131">
        <f t="shared" si="15"/>
        <v>21.344999999999999</v>
      </c>
      <c r="U60" s="136">
        <f t="shared" si="16"/>
        <v>0.11518760807153788</v>
      </c>
      <c r="V60" s="138">
        <f t="shared" si="17"/>
        <v>2.7986858902180924E-2</v>
      </c>
      <c r="W60" s="138">
        <f t="shared" si="11"/>
        <v>3.5503119953621577E-2</v>
      </c>
      <c r="X60" s="136">
        <f t="shared" si="18"/>
        <v>410.27761032209781</v>
      </c>
      <c r="Y60" s="136">
        <f t="shared" si="19"/>
        <v>46.153964228912123</v>
      </c>
      <c r="Z60" s="136">
        <f t="shared" si="20"/>
        <v>361.87270033200053</v>
      </c>
      <c r="AA60" s="136">
        <f t="shared" si="21"/>
        <v>104.47703391218516</v>
      </c>
      <c r="AB60" s="136">
        <f t="shared" si="22"/>
        <v>1.0084588135933978</v>
      </c>
      <c r="AC60" s="136">
        <f t="shared" si="23"/>
        <v>361.4632522213891</v>
      </c>
      <c r="AD60" s="136">
        <f t="shared" si="24"/>
        <v>104.97037788683073</v>
      </c>
      <c r="AE60" s="138">
        <f t="shared" si="25"/>
        <v>0</v>
      </c>
      <c r="AF60" s="138">
        <f>$C$32*(A60-A59)/((G60+G59)/2)</f>
        <v>0</v>
      </c>
    </row>
    <row r="61" spans="1:32" ht="14.25" x14ac:dyDescent="0.2">
      <c r="A61" s="72">
        <v>6.5</v>
      </c>
      <c r="B61" s="69" t="str">
        <f t="shared" si="0"/>
        <v>plastic</v>
      </c>
      <c r="C61" s="105">
        <f t="shared" si="12"/>
        <v>520.70666666666659</v>
      </c>
      <c r="D61" s="70">
        <v>0.4</v>
      </c>
      <c r="E61" s="70">
        <v>7</v>
      </c>
      <c r="F61" s="71">
        <v>0.6</v>
      </c>
      <c r="G61" s="90">
        <v>1115.8</v>
      </c>
      <c r="H61" s="99">
        <f t="shared" si="1"/>
        <v>446.15766857708593</v>
      </c>
      <c r="I61" s="99">
        <f t="shared" si="2"/>
        <v>128.81112564541158</v>
      </c>
      <c r="J61" s="102">
        <f t="shared" si="3"/>
        <v>3.5536509847428184E-2</v>
      </c>
      <c r="K61" s="121">
        <f t="shared" si="4"/>
        <v>185.96666666666664</v>
      </c>
      <c r="L61" s="121">
        <f t="shared" si="5"/>
        <v>743.86666666666679</v>
      </c>
      <c r="M61" s="121">
        <f t="shared" si="6"/>
        <v>0.66666666666666674</v>
      </c>
      <c r="N61" s="121">
        <f t="shared" si="13"/>
        <v>0.29103145640780781</v>
      </c>
      <c r="O61" s="121">
        <f t="shared" si="7"/>
        <v>0.76988051794504508</v>
      </c>
      <c r="P61" s="122">
        <f t="shared" si="14"/>
        <v>0.57585954700650654</v>
      </c>
      <c r="Q61" s="123">
        <f t="shared" si="8"/>
        <v>32884.880172588688</v>
      </c>
      <c r="R61" s="122">
        <f t="shared" si="9"/>
        <v>6.2735257214554583</v>
      </c>
      <c r="S61" s="120">
        <f t="shared" si="40"/>
        <v>84.499999999999986</v>
      </c>
      <c r="T61" s="120">
        <f t="shared" si="15"/>
        <v>24.074999999999999</v>
      </c>
      <c r="U61" s="122">
        <f t="shared" si="16"/>
        <v>0.11518760807153788</v>
      </c>
      <c r="V61" s="124">
        <f t="shared" si="17"/>
        <v>2.7986858902180924E-2</v>
      </c>
      <c r="W61" s="124">
        <f t="shared" si="11"/>
        <v>3.5503119953621577E-2</v>
      </c>
      <c r="X61" s="122">
        <f t="shared" si="18"/>
        <v>410.27761032209781</v>
      </c>
      <c r="Y61" s="122">
        <f t="shared" si="19"/>
        <v>46.153964228912123</v>
      </c>
      <c r="Z61" s="122">
        <f t="shared" si="20"/>
        <v>361.87270033200053</v>
      </c>
      <c r="AA61" s="122">
        <f t="shared" si="21"/>
        <v>104.47703391218516</v>
      </c>
      <c r="AB61" s="122">
        <f t="shared" si="22"/>
        <v>1.0044423541942051</v>
      </c>
      <c r="AC61" s="122">
        <f t="shared" si="23"/>
        <v>361.65766857708593</v>
      </c>
      <c r="AD61" s="122">
        <f t="shared" si="24"/>
        <v>104.73612564541158</v>
      </c>
      <c r="AE61" s="124">
        <f t="shared" si="25"/>
        <v>2.3108542746966058E-2</v>
      </c>
      <c r="AF61" s="124">
        <f t="shared" si="39"/>
        <v>5.8254167413514996E-2</v>
      </c>
    </row>
    <row r="62" spans="1:32" ht="14.25" x14ac:dyDescent="0.2">
      <c r="A62" s="72">
        <v>6.6749999999999998</v>
      </c>
      <c r="B62" s="69" t="str">
        <f t="shared" si="0"/>
        <v>plastic</v>
      </c>
      <c r="C62" s="105">
        <f t="shared" ref="C62" si="65">(1+D62)*(1-2*D62)*G62/(1-D62)</f>
        <v>520.70666666666659</v>
      </c>
      <c r="D62" s="70">
        <v>0.4</v>
      </c>
      <c r="E62" s="70">
        <v>7</v>
      </c>
      <c r="F62" s="71">
        <v>0.6</v>
      </c>
      <c r="G62" s="90">
        <v>1115.8</v>
      </c>
      <c r="H62" s="99">
        <f t="shared" si="1"/>
        <v>448.48501144208115</v>
      </c>
      <c r="I62" s="99">
        <f t="shared" si="2"/>
        <v>129.48305773426026</v>
      </c>
      <c r="J62" s="102">
        <f t="shared" si="3"/>
        <v>3.5528382105065572E-2</v>
      </c>
      <c r="K62" s="121">
        <f t="shared" si="4"/>
        <v>185.96666666666664</v>
      </c>
      <c r="L62" s="121">
        <f t="shared" si="5"/>
        <v>743.86666666666679</v>
      </c>
      <c r="M62" s="121">
        <f t="shared" si="6"/>
        <v>0.66666666666666674</v>
      </c>
      <c r="N62" s="121">
        <f t="shared" ref="N62" si="66">2*M62*$C$11/(1-$C$11)</f>
        <v>0.29103145640780781</v>
      </c>
      <c r="O62" s="121">
        <f t="shared" si="7"/>
        <v>0.76988051794504508</v>
      </c>
      <c r="P62" s="122">
        <f t="shared" ref="P62" si="67">O62-M62*N62</f>
        <v>0.57585954700650654</v>
      </c>
      <c r="Q62" s="123">
        <f t="shared" si="8"/>
        <v>32884.880172588688</v>
      </c>
      <c r="R62" s="122">
        <f t="shared" si="9"/>
        <v>6.2735257214554583</v>
      </c>
      <c r="S62" s="120">
        <f t="shared" si="40"/>
        <v>86.774999999999977</v>
      </c>
      <c r="T62" s="120">
        <f t="shared" si="15"/>
        <v>24.81</v>
      </c>
      <c r="U62" s="122">
        <f t="shared" ref="U62" si="68">(($C$28-L62)*(1-$C$11))/(2*($C$11*(L62+K62-$C$28-$C$29)+$C$28+$C$29+K62)+(1-$C$11)*(2*K62+L62)*R62)</f>
        <v>0.11518760807153788</v>
      </c>
      <c r="V62" s="124">
        <f t="shared" ref="V62" si="69">$C$32/(($C$28+2*$C$29)*$C$11+(L62+2*K62)*(1-$C$11)-2*$C$11*($C$28-L62)*U62)</f>
        <v>2.7986858902180924E-2</v>
      </c>
      <c r="W62" s="124">
        <f t="shared" si="11"/>
        <v>3.5503119953621577E-2</v>
      </c>
      <c r="X62" s="122">
        <f t="shared" ref="X62" si="70">($C$28+2*$C$29-2*$C$28*U62)*V62</f>
        <v>410.27761032209781</v>
      </c>
      <c r="Y62" s="122">
        <f t="shared" ref="Y62" si="71">($C$28-2*($C$28+$C$29)*U62)*V62</f>
        <v>46.153964228912123</v>
      </c>
      <c r="Z62" s="122">
        <f t="shared" ref="Z62" si="72">$C$30/Q62*($C$26*(2*M62+$C$27*(O62+R62)))*$C$32</f>
        <v>361.87270033200053</v>
      </c>
      <c r="AA62" s="122">
        <f t="shared" ref="AA62" si="73">$C$30/Q62*(2*M62+$C$27*(O62+R62))*$C$32</f>
        <v>104.47703391218516</v>
      </c>
      <c r="AB62" s="122">
        <f t="shared" ref="AB62" si="74">IF(((X62+S62)/(Y62+T62))&lt;=$C$26,0,(T62*$C$26+Y62*$C$26-X62-S62)/($C$26*Y62-$C$26*AA62-X62+Z62))</f>
        <v>1.0033609997405761</v>
      </c>
      <c r="AC62" s="122">
        <f t="shared" ref="AC62" si="75">(1-AB62)*X62+AB62*Z62</f>
        <v>361.71001144208117</v>
      </c>
      <c r="AD62" s="122">
        <f t="shared" ref="AD62" si="76">(1-AB62)*Y62+AB62*AA62</f>
        <v>104.67305773426025</v>
      </c>
      <c r="AE62" s="124">
        <f t="shared" si="25"/>
        <v>6.2181780458431977E-3</v>
      </c>
      <c r="AF62" s="124">
        <f t="shared" si="39"/>
        <v>1.5683814303638629E-2</v>
      </c>
    </row>
    <row r="63" spans="1:32" ht="14.25" x14ac:dyDescent="0.2">
      <c r="A63" s="72">
        <v>7</v>
      </c>
      <c r="B63" s="69" t="str">
        <f t="shared" si="0"/>
        <v>plastic</v>
      </c>
      <c r="C63" s="105">
        <f t="shared" ref="C63:C64" si="77">(1+D63)*(1-2*D63)*G63/(1-D63)</f>
        <v>520.70666666666659</v>
      </c>
      <c r="D63" s="70">
        <v>0.4</v>
      </c>
      <c r="E63" s="70">
        <v>7</v>
      </c>
      <c r="F63" s="71">
        <v>0.6</v>
      </c>
      <c r="G63" s="90">
        <v>1115.8</v>
      </c>
      <c r="H63" s="99">
        <f t="shared" si="1"/>
        <v>452.80721961992964</v>
      </c>
      <c r="I63" s="99">
        <f t="shared" si="2"/>
        <v>130.73093161355067</v>
      </c>
      <c r="J63" s="102">
        <f t="shared" si="3"/>
        <v>3.5513287726392145E-2</v>
      </c>
      <c r="K63" s="121">
        <f t="shared" si="4"/>
        <v>185.96666666666664</v>
      </c>
      <c r="L63" s="121">
        <f t="shared" si="5"/>
        <v>743.86666666666679</v>
      </c>
      <c r="M63" s="121">
        <f t="shared" si="6"/>
        <v>0.66666666666666674</v>
      </c>
      <c r="N63" s="121">
        <f t="shared" ref="N63:N64" si="78">2*M63*$C$11/(1-$C$11)</f>
        <v>0.29103145640780781</v>
      </c>
      <c r="O63" s="121">
        <f t="shared" si="7"/>
        <v>0.76988051794504508</v>
      </c>
      <c r="P63" s="122">
        <f t="shared" ref="P63:P64" si="79">O63-M63*N63</f>
        <v>0.57585954700650654</v>
      </c>
      <c r="Q63" s="123">
        <f t="shared" si="8"/>
        <v>32884.880172588688</v>
      </c>
      <c r="R63" s="122">
        <f t="shared" si="9"/>
        <v>6.2735257214554583</v>
      </c>
      <c r="S63" s="120">
        <f t="shared" si="40"/>
        <v>90.999999999999986</v>
      </c>
      <c r="T63" s="120">
        <f t="shared" si="15"/>
        <v>26.175000000000001</v>
      </c>
      <c r="U63" s="122">
        <f t="shared" ref="U63:U64" si="80">(($C$28-L63)*(1-$C$11))/(2*($C$11*(L63+K63-$C$28-$C$29)+$C$28+$C$29+K63)+(1-$C$11)*(2*K63+L63)*R63)</f>
        <v>0.11518760807153788</v>
      </c>
      <c r="V63" s="124">
        <f t="shared" ref="V63:V64" si="81">$C$32/(($C$28+2*$C$29)*$C$11+(L63+2*K63)*(1-$C$11)-2*$C$11*($C$28-L63)*U63)</f>
        <v>2.7986858902180924E-2</v>
      </c>
      <c r="W63" s="124">
        <f t="shared" si="11"/>
        <v>3.5503119953621577E-2</v>
      </c>
      <c r="X63" s="122">
        <f t="shared" ref="X63:X64" si="82">($C$28+2*$C$29-2*$C$28*U63)*V63</f>
        <v>410.27761032209781</v>
      </c>
      <c r="Y63" s="122">
        <f t="shared" ref="Y63:Y64" si="83">($C$28-2*($C$28+$C$29)*U63)*V63</f>
        <v>46.153964228912123</v>
      </c>
      <c r="Z63" s="122">
        <f t="shared" ref="Z63:Z64" si="84">$C$30/Q63*($C$26*(2*M63+$C$27*(O63+R63)))*$C$32</f>
        <v>361.87270033200053</v>
      </c>
      <c r="AA63" s="122">
        <f t="shared" ref="AA63:AA64" si="85">$C$30/Q63*(2*M63+$C$27*(O63+R63))*$C$32</f>
        <v>104.47703391218516</v>
      </c>
      <c r="AB63" s="122">
        <f t="shared" ref="AB63:AB64" si="86">IF(((X63+S63)/(Y63+T63))&lt;=$C$26,0,(T63*$C$26+Y63*$C$26-X63-S63)/($C$26*Y63-$C$26*AA63-X63+Z63))</f>
        <v>1.0013527700409794</v>
      </c>
      <c r="AC63" s="122">
        <f t="shared" ref="AC63:AC64" si="87">(1-AB63)*X63+AB63*Z63</f>
        <v>361.80721961992964</v>
      </c>
      <c r="AD63" s="122">
        <f t="shared" ref="AD63:AD64" si="88">(1-AB63)*Y63+AB63*AA63</f>
        <v>104.55593161355065</v>
      </c>
      <c r="AE63" s="124">
        <f t="shared" si="25"/>
        <v>1.1544271347611884E-2</v>
      </c>
      <c r="AF63" s="124">
        <f t="shared" si="39"/>
        <v>2.9127083706757498E-2</v>
      </c>
    </row>
    <row r="64" spans="1:32" ht="14.25" x14ac:dyDescent="0.2">
      <c r="A64" s="81">
        <v>7.5</v>
      </c>
      <c r="B64" s="69" t="str">
        <f t="shared" si="0"/>
        <v>plastic</v>
      </c>
      <c r="C64" s="105">
        <f t="shared" si="77"/>
        <v>520.70666666666659</v>
      </c>
      <c r="D64" s="70">
        <v>0.4</v>
      </c>
      <c r="E64" s="70">
        <v>7</v>
      </c>
      <c r="F64" s="71">
        <v>0.6</v>
      </c>
      <c r="G64" s="90">
        <v>1115.8</v>
      </c>
      <c r="H64" s="99">
        <f t="shared" si="1"/>
        <v>459.45677066277335</v>
      </c>
      <c r="I64" s="99">
        <f t="shared" si="2"/>
        <v>132.65073758168975</v>
      </c>
      <c r="J64" s="102">
        <f t="shared" si="3"/>
        <v>3.5490065605356114E-2</v>
      </c>
      <c r="K64" s="121">
        <f t="shared" si="4"/>
        <v>185.96666666666664</v>
      </c>
      <c r="L64" s="121">
        <f t="shared" si="5"/>
        <v>743.86666666666679</v>
      </c>
      <c r="M64" s="121">
        <f t="shared" si="6"/>
        <v>0.66666666666666674</v>
      </c>
      <c r="N64" s="121">
        <f t="shared" si="78"/>
        <v>0.29103145640780781</v>
      </c>
      <c r="O64" s="121">
        <f t="shared" si="7"/>
        <v>0.76988051794504508</v>
      </c>
      <c r="P64" s="122">
        <f t="shared" si="79"/>
        <v>0.57585954700650654</v>
      </c>
      <c r="Q64" s="123">
        <f t="shared" si="8"/>
        <v>32884.880172588688</v>
      </c>
      <c r="R64" s="122">
        <f t="shared" si="9"/>
        <v>6.2735257214554583</v>
      </c>
      <c r="S64" s="120">
        <f t="shared" si="40"/>
        <v>97.499999999999986</v>
      </c>
      <c r="T64" s="120">
        <f t="shared" si="15"/>
        <v>28.275000000000002</v>
      </c>
      <c r="U64" s="122">
        <f t="shared" si="80"/>
        <v>0.11518760807153788</v>
      </c>
      <c r="V64" s="124">
        <f t="shared" si="81"/>
        <v>2.7986858902180924E-2</v>
      </c>
      <c r="W64" s="124">
        <f t="shared" si="11"/>
        <v>3.5503119953621577E-2</v>
      </c>
      <c r="X64" s="122">
        <f t="shared" si="82"/>
        <v>410.27761032209781</v>
      </c>
      <c r="Y64" s="122">
        <f t="shared" si="83"/>
        <v>46.153964228912123</v>
      </c>
      <c r="Z64" s="122">
        <f t="shared" si="84"/>
        <v>361.87270033200053</v>
      </c>
      <c r="AA64" s="122">
        <f t="shared" si="85"/>
        <v>104.47703391218516</v>
      </c>
      <c r="AB64" s="122">
        <f t="shared" si="86"/>
        <v>0.9982631858877542</v>
      </c>
      <c r="AC64" s="122">
        <f t="shared" si="87"/>
        <v>361.95677066277335</v>
      </c>
      <c r="AD64" s="122">
        <f t="shared" si="88"/>
        <v>104.37573758168976</v>
      </c>
      <c r="AE64" s="124">
        <f t="shared" si="25"/>
        <v>1.7750838332937065E-2</v>
      </c>
      <c r="AF64" s="124">
        <f t="shared" si="39"/>
        <v>4.481089801039613E-2</v>
      </c>
    </row>
    <row r="65" spans="14:31" x14ac:dyDescent="0.2">
      <c r="N65" s="74"/>
    </row>
    <row r="66" spans="14:31" x14ac:dyDescent="0.2">
      <c r="AE66" s="45"/>
    </row>
  </sheetData>
  <sheetProtection selectLockedCells="1"/>
  <mergeCells count="2">
    <mergeCell ref="A1:L2"/>
    <mergeCell ref="A3:L3"/>
  </mergeCells>
  <pageMargins left="0.75" right="0.75" top="1" bottom="1" header="0" footer="0"/>
  <pageSetup paperSize="9" scale="2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223" r:id="rId4" name="btn_magic">
          <controlPr locked="0" defaultSize="0" autoLine="0" r:id="rId5">
            <anchor moveWithCells="1">
              <from>
                <xdr:col>4</xdr:col>
                <xdr:colOff>419100</xdr:colOff>
                <xdr:row>33</xdr:row>
                <xdr:rowOff>180975</xdr:rowOff>
              </from>
              <to>
                <xdr:col>7</xdr:col>
                <xdr:colOff>114300</xdr:colOff>
                <xdr:row>38</xdr:row>
                <xdr:rowOff>142875</xdr:rowOff>
              </to>
            </anchor>
          </controlPr>
        </control>
      </mc:Choice>
      <mc:Fallback>
        <control shapeId="9223" r:id="rId4" name="btn_magic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img</vt:lpstr>
      <vt:lpstr>Example</vt:lpstr>
      <vt:lpstr>i_p_E</vt:lpstr>
      <vt:lpstr>i_p_fi</vt:lpstr>
      <vt:lpstr>i_p_poisson</vt:lpstr>
      <vt:lpstr>i_p_psi</vt:lpstr>
      <vt:lpstr>input_area</vt:lpstr>
      <vt:lpstr>r_p_uz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Sirk, Katarina</dc:creator>
  <cp:lastModifiedBy>Ziga</cp:lastModifiedBy>
  <dcterms:created xsi:type="dcterms:W3CDTF">2016-01-21T14:40:19Z</dcterms:created>
  <dcterms:modified xsi:type="dcterms:W3CDTF">2016-07-25T10:33:26Z</dcterms:modified>
</cp:coreProperties>
</file>